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2026-Work Papers\AT-MMC\Review\Review steps\"/>
    </mc:Choice>
  </mc:AlternateContent>
  <xr:revisionPtr revIDLastSave="0" documentId="8_{06824D01-B52C-4768-B67C-E9E554DC8750}" xr6:coauthVersionLast="47" xr6:coauthVersionMax="47" xr10:uidLastSave="{00000000-0000-0000-0000-000000000000}"/>
  <bookViews>
    <workbookView xWindow="-120" yWindow="-120" windowWidth="20730" windowHeight="11160" firstSheet="9" activeTab="10" xr2:uid="{00000000-000D-0000-FFFF-FFFF00000000}"/>
  </bookViews>
  <sheets>
    <sheet name="START_HERE" sheetId="1" r:id="rId1"/>
    <sheet name="Mix_Design" sheetId="2" r:id="rId2"/>
    <sheet name="Reported_Physical" sheetId="3" r:id="rId3"/>
    <sheet name="Reported_Mechanical" sheetId="4" r:id="rId4"/>
    <sheet name="Reported_Durability" sheetId="5" r:id="rId5"/>
    <sheet name="Reported_Thermal" sheetId="6" r:id="rId6"/>
    <sheet name="Specimen_Raw_Data" sheetId="7" r:id="rId7"/>
    <sheet name="Lab_Record_Log" sheetId="8" r:id="rId8"/>
    <sheet name="Durability_Raw_Data" sheetId="9" r:id="rId9"/>
    <sheet name="Stats_Descriptive" sheetId="10" r:id="rId10"/>
    <sheet name="LCA_Inventory" sheetId="11" r:id="rId11"/>
  </sheets>
  <definedNames>
    <definedName name="_xlnm._FilterDatabase" localSheetId="8" hidden="1">Durability_Raw_Data!$A$3:$R$38</definedName>
    <definedName name="_xlnm._FilterDatabase" localSheetId="7" hidden="1">Lab_Record_Log!$A$3:$P$28</definedName>
    <definedName name="_xlnm._FilterDatabase" localSheetId="10" hidden="1">LCA_Inventory!$A$32:$E$35</definedName>
    <definedName name="_xlnm._FilterDatabase" localSheetId="1" hidden="1">Mix_Design!$A$2:$H$9</definedName>
    <definedName name="_xlnm._FilterDatabase" localSheetId="4" hidden="1">Reported_Durability!$A$2:$F$9</definedName>
    <definedName name="_xlnm._FilterDatabase" localSheetId="3" hidden="1">Reported_Mechanical!$A$2:$E$9</definedName>
    <definedName name="_xlnm._FilterDatabase" localSheetId="2" hidden="1">Reported_Physical!$A$2:$E$9</definedName>
    <definedName name="_xlnm._FilterDatabase" localSheetId="5" hidden="1">Reported_Thermal!$A$3:$I$10</definedName>
    <definedName name="_xlnm._FilterDatabase" localSheetId="6" hidden="1">Specimen_Raw_Data!$A$3:$R$38</definedName>
    <definedName name="_xlnm._FilterDatabase" localSheetId="9" hidden="1">Stats_Descriptive!$A$3:$D$8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1" l="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C8" i="10"/>
  <c r="C7" i="10"/>
  <c r="C6" i="10"/>
  <c r="C5" i="10"/>
  <c r="C4" i="10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J5" i="9"/>
  <c r="J4" i="9"/>
  <c r="G10" i="6"/>
  <c r="H10" i="6" s="1"/>
  <c r="I10" i="6" s="1"/>
  <c r="G9" i="6"/>
  <c r="H9" i="6" s="1"/>
  <c r="I9" i="6" s="1"/>
  <c r="H8" i="6"/>
  <c r="I8" i="6" s="1"/>
  <c r="G8" i="6"/>
  <c r="G7" i="6"/>
  <c r="H7" i="6" s="1"/>
  <c r="I7" i="6" s="1"/>
  <c r="G6" i="6"/>
  <c r="H6" i="6" s="1"/>
  <c r="I6" i="6" s="1"/>
  <c r="G5" i="6"/>
  <c r="H5" i="6" s="1"/>
  <c r="I5" i="6" s="1"/>
  <c r="G4" i="6"/>
  <c r="H4" i="6" s="1"/>
  <c r="I4" i="6" s="1"/>
</calcChain>
</file>

<file path=xl/sharedStrings.xml><?xml version="1.0" encoding="utf-8"?>
<sst xmlns="http://schemas.openxmlformats.org/spreadsheetml/2006/main" count="212" uniqueCount="164">
  <si>
    <t>AT-MMC Supporting Records: Template and Consistency Checks</t>
  </si>
  <si>
    <t>PURPOSE</t>
  </si>
  <si>
    <t>This workbook organizes source-record templates and checks for the AT-MMC manuscript.</t>
  </si>
  <si>
    <t>Included sheets</t>
  </si>
  <si>
    <t>Mix_Design</t>
  </si>
  <si>
    <t>Mixture proportions copied from the manuscript; C0 binder fraction remains unresolved.</t>
  </si>
  <si>
    <t>Reported_Physical</t>
  </si>
  <si>
    <t>Reported mixture-level summary values; not specimen-level observations.</t>
  </si>
  <si>
    <t>Reported_Mechanical</t>
  </si>
  <si>
    <t>Reported_Durability</t>
  </si>
  <si>
    <t>Reported durability percentages; metric definition and protocol require verification.</t>
  </si>
  <si>
    <t>Reported_Thermal</t>
  </si>
  <si>
    <t>Reported thermal values plus formula-based diffusivity check.</t>
  </si>
  <si>
    <t>Specimen_Raw_Data</t>
  </si>
  <si>
    <t>Blank raw data template for each individual specimen and batch.</t>
  </si>
  <si>
    <t>Lab_Record_Log</t>
  </si>
  <si>
    <t>Blank traceability form for original lab records and instrument files.</t>
  </si>
  <si>
    <t>Durability_Raw_Data</t>
  </si>
  <si>
    <t>Blank durability raw data sheet.</t>
  </si>
  <si>
    <t>Stats_Descriptive</t>
  </si>
  <si>
    <t>Descriptive calculations from seven reported mix-level summary points only; no inferential ANOVA.</t>
  </si>
  <si>
    <t>LCA_Inventory</t>
  </si>
  <si>
    <t>Blank process inventory structure and manuscript's reported summary values.</t>
  </si>
  <si>
    <t>References_Audit</t>
  </si>
  <si>
    <t>Reference list copied from manuscript with verification status prompts.</t>
  </si>
  <si>
    <t>Issues_Checklist</t>
  </si>
  <si>
    <t>High-priority inconsistencies and records needed before publication.</t>
  </si>
  <si>
    <t>Manuscript-reported mixture proportions</t>
  </si>
  <si>
    <t>Mix ID</t>
  </si>
  <si>
    <t>Binder system</t>
  </si>
  <si>
    <t>Lime (%)</t>
  </si>
  <si>
    <t>Metakaolin (%)</t>
  </si>
  <si>
    <t>Granite waste (%)</t>
  </si>
  <si>
    <t>Sand (%)</t>
  </si>
  <si>
    <t>Basalt fibre (%)</t>
  </si>
  <si>
    <t>w/b ratio</t>
  </si>
  <si>
    <t>C0</t>
  </si>
  <si>
    <t>OPC control</t>
  </si>
  <si>
    <t>AT1</t>
  </si>
  <si>
    <t>Lime-MK</t>
  </si>
  <si>
    <t>AT2</t>
  </si>
  <si>
    <t>AT3</t>
  </si>
  <si>
    <t>AT4</t>
  </si>
  <si>
    <t>AT5</t>
  </si>
  <si>
    <t>AT6</t>
  </si>
  <si>
    <t>Audit note</t>
  </si>
  <si>
    <t>Reported physical-property summaries</t>
  </si>
  <si>
    <t>Density (kg/m³)</t>
  </si>
  <si>
    <t>Water absorption (%)</t>
  </si>
  <si>
    <t>Apparent porosity (%)</t>
  </si>
  <si>
    <t>Sorptivity (mm/min^0.5)</t>
  </si>
  <si>
    <t>Reported mechanical-property summaries</t>
  </si>
  <si>
    <t>Compressive strength (MPa)</t>
  </si>
  <si>
    <t>Flexural strength (MPa)</t>
  </si>
  <si>
    <t>Splitting tensile strength (MPa)</t>
  </si>
  <si>
    <t>Fracture toughness (MPa·m^0.5)</t>
  </si>
  <si>
    <t>Reported durability summary percentages</t>
  </si>
  <si>
    <t>Water immersion (56 d) (%)</t>
  </si>
  <si>
    <t>Wet-dry (100 cycles) (%)</t>
  </si>
  <si>
    <t>Sulfate 5% (56 d) (%)</t>
  </si>
  <si>
    <t>Acid 5% H₂SO₄ (28 d) (%)</t>
  </si>
  <si>
    <t>Freeze-thaw (50 cycles) (%)</t>
  </si>
  <si>
    <t>Thermal values and consistency check</t>
  </si>
  <si>
    <t>Diffusivity formula: α = k/(ρ·cp). With k in W/(m·K), ρ in kg/m³ and cp in J/(kg·K), α is m²/s; multiply by 10⁶ for mm²/s.</t>
  </si>
  <si>
    <t>k reported (W/m·K)</t>
  </si>
  <si>
    <t>α reported (mm²/s)</t>
  </si>
  <si>
    <t>cp reported (J/kg·K)</t>
  </si>
  <si>
    <t>CTE reported (10⁻⁶/°C)</t>
  </si>
  <si>
    <t>ρ reported (kg/m³)</t>
  </si>
  <si>
    <t>α calc using reported ρ (mm²/s)</t>
  </si>
  <si>
    <t>Difference: reported−calc (mm²/s)</t>
  </si>
  <si>
    <t>Verification flag</t>
  </si>
  <si>
    <t>Specimen-level raw data template</t>
  </si>
  <si>
    <t>Enter one row per individual specimen. Do not copy mixture means into this sheet. Keep failed/invalid tests and document exclusion reasons.</t>
  </si>
  <si>
    <t>Date</t>
  </si>
  <si>
    <t>Batch ID</t>
  </si>
  <si>
    <t>Specimen ID</t>
  </si>
  <si>
    <t>Test</t>
  </si>
  <si>
    <t>Specimen geometry</t>
  </si>
  <si>
    <t>Curing age (d)</t>
  </si>
  <si>
    <t>Conditioning/moisture</t>
  </si>
  <si>
    <t>Raw measurement</t>
  </si>
  <si>
    <t>Unit</t>
  </si>
  <si>
    <t>Calculated result</t>
  </si>
  <si>
    <t>Result unit</t>
  </si>
  <si>
    <t>Instrument ID</t>
  </si>
  <si>
    <t>Operator</t>
  </si>
  <si>
    <t>Standard/protocol actually used</t>
  </si>
  <si>
    <t>Raw file path/name</t>
  </si>
  <si>
    <t>Valid? (Y/N)</t>
  </si>
  <si>
    <t>Exclusion reason/notes</t>
  </si>
  <si>
    <t>Original laboratory record register</t>
  </si>
  <si>
    <t>Use this to point to actual notebook pages, instrument exports, photographs and calibration certificates.</t>
  </si>
  <si>
    <t>Record ID</t>
  </si>
  <si>
    <t>Date/time</t>
  </si>
  <si>
    <t>Test/procedure</t>
  </si>
  <si>
    <t>Instrument make/model</t>
  </si>
  <si>
    <t>Instrument serial/calibration ID</t>
  </si>
  <si>
    <t>Notebook/page or electronic file</t>
  </si>
  <si>
    <t>Raw filename/path</t>
  </si>
  <si>
    <t>Calibration checked?</t>
  </si>
  <si>
    <t>Environmental conditions</t>
  </si>
  <si>
    <t>Sample conditioning</t>
  </si>
  <si>
    <t>Deviation/incident</t>
  </si>
  <si>
    <t>File checksum/version</t>
  </si>
  <si>
    <t>Reviewed by/date</t>
  </si>
  <si>
    <t>Durability raw data template</t>
  </si>
  <si>
    <t>Record baseline and post-exposure raw measurements. Specify exact protocol and actual concentration basis.</t>
  </si>
  <si>
    <t>Exposure type</t>
  </si>
  <si>
    <t>Replicate no.</t>
  </si>
  <si>
    <t>Baseline mass (g)</t>
  </si>
  <si>
    <t>Post-exposure mass (g)</t>
  </si>
  <si>
    <t>Baseline strength (MPa)</t>
  </si>
  <si>
    <t>Post-exposure strength (MPa)</t>
  </si>
  <si>
    <t>Retention (%) formula</t>
  </si>
  <si>
    <t>Exposure duration/cycles</t>
  </si>
  <si>
    <t>Solution concentration basis</t>
  </si>
  <si>
    <t>Solution pH start/end</t>
  </si>
  <si>
    <t>Temperature (°C)</t>
  </si>
  <si>
    <t>Solution renewal schedule</t>
  </si>
  <si>
    <t>Standard/protocol used</t>
  </si>
  <si>
    <t>Visual damage notes</t>
  </si>
  <si>
    <t>Raw file/reference</t>
  </si>
  <si>
    <t>Descriptive statistics from reported mix-level summaries</t>
  </si>
  <si>
    <t>n=7 mixture-level summary points. These calculations are exploratory only; they are not replicate-level inference, ANOVA, causal effects or model validation.</t>
  </si>
  <si>
    <t>Property X</t>
  </si>
  <si>
    <t>Property Y</t>
  </si>
  <si>
    <t>Pearson r (7 mix summaries)</t>
  </si>
  <si>
    <t>Interpretation limit</t>
  </si>
  <si>
    <t>Compressive strength</t>
  </si>
  <si>
    <t>Splitting tensile strength</t>
  </si>
  <si>
    <t>Strong positive association among reported mixture summaries; no causation.</t>
  </si>
  <si>
    <t>Water absorption</t>
  </si>
  <si>
    <t>Apparent porosity</t>
  </si>
  <si>
    <t>Association may reflect shared calculations/definitions; verify independence.</t>
  </si>
  <si>
    <t>Thermal conductivity</t>
  </si>
  <si>
    <t>Positive association is unusual under simple pore-volume expectations; check values/moisture/composition.</t>
  </si>
  <si>
    <t>Fracture toughness</t>
  </si>
  <si>
    <t>Sorptivity</t>
  </si>
  <si>
    <t>Descriptive association only; does not prove fibre bridging or pore refinement.</t>
  </si>
  <si>
    <t>Density</t>
  </si>
  <si>
    <t>Weak association in reported summaries; no mechanistic inference.</t>
  </si>
  <si>
    <t>LCA inventory template and manuscript-reported totals</t>
  </si>
  <si>
    <t>Mix/system</t>
  </si>
  <si>
    <t>Process/material</t>
  </si>
  <si>
    <t>Quantity per functional unit</t>
  </si>
  <si>
    <t>Emission factor</t>
  </si>
  <si>
    <t>EF unit</t>
  </si>
  <si>
    <t>Calculated GWP (kg CO₂-eq)</t>
  </si>
  <si>
    <t>Source/database/version</t>
  </si>
  <si>
    <t>Transport distance (km)</t>
  </si>
  <si>
    <t>Electricity mix/source</t>
  </si>
  <si>
    <t>Allocation/cut-off rule</t>
  </si>
  <si>
    <t>Notes</t>
  </si>
  <si>
    <t>Manuscript-reported summary (not independently verified)</t>
  </si>
  <si>
    <t>System</t>
  </si>
  <si>
    <t>GWP (kg CO₂-eq/kg as reported)</t>
  </si>
  <si>
    <t>Embodied energy (MJ)</t>
  </si>
  <si>
    <t>Primary energy (MJ)</t>
  </si>
  <si>
    <t>Waste utilization (%)</t>
  </si>
  <si>
    <t>OPC mortar (C0)</t>
  </si>
  <si>
    <t>Lime-MK matrix (AT3)</t>
  </si>
  <si>
    <t>AT-MMC (AT6)</t>
  </si>
  <si>
    <t xml:space="preserve">For C0, the manuscript labels the mix OPC control but lists sand=100% and does not state OPC mass/fraction.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</si>
</sst>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00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b/>
      <sz val="15"/>
      <color rgb="FFFFFFFF"/>
      <name val="Calibri"/>
    </font>
    <font>
      <i/>
      <sz val="11"/>
      <color rgb="FF7F6000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5" borderId="0" xfId="0" applyFont="1" applyFill="1" applyAlignment="1">
      <alignment vertical="top" wrapText="1"/>
    </xf>
    <xf numFmtId="0" fontId="0" fillId="6" borderId="0" xfId="0" applyFill="1" applyAlignment="1">
      <alignment vertical="top" wrapText="1"/>
    </xf>
    <xf numFmtId="164" fontId="0" fillId="6" borderId="0" xfId="0" applyNumberFormat="1" applyFill="1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6" borderId="0" xfId="0" applyNumberFormat="1" applyFill="1" applyAlignment="1">
      <alignment vertical="top" wrapText="1"/>
    </xf>
    <xf numFmtId="165" fontId="0" fillId="0" borderId="0" xfId="0" applyNumberFormat="1" applyAlignment="1">
      <alignment vertical="top" wrapText="1"/>
    </xf>
    <xf numFmtId="166" fontId="0" fillId="6" borderId="0" xfId="0" applyNumberFormat="1" applyFill="1" applyAlignment="1">
      <alignment vertical="top" wrapText="1"/>
    </xf>
    <xf numFmtId="166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  <xf numFmtId="0" fontId="1" fillId="2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5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8"/>
  <sheetViews>
    <sheetView workbookViewId="0">
      <pane ySplit="2" topLeftCell="A12" activePane="bottomLeft" state="frozen"/>
      <selection pane="bottomLeft" activeCell="B16" sqref="B16:H16"/>
    </sheetView>
  </sheetViews>
  <sheetFormatPr defaultRowHeight="15" x14ac:dyDescent="0.25"/>
  <cols>
    <col min="1" max="1" width="28" customWidth="1"/>
    <col min="2" max="8" width="18" customWidth="1"/>
  </cols>
  <sheetData>
    <row r="1" spans="1:8" x14ac:dyDescent="0.25">
      <c r="A1" s="13" t="s">
        <v>0</v>
      </c>
      <c r="B1" s="12"/>
      <c r="C1" s="12"/>
      <c r="D1" s="12"/>
      <c r="E1" s="12"/>
      <c r="F1" s="12"/>
      <c r="G1" s="12"/>
      <c r="H1" s="12"/>
    </row>
    <row r="3" spans="1:8" x14ac:dyDescent="0.25">
      <c r="A3" s="1" t="s">
        <v>1</v>
      </c>
      <c r="B3" s="11" t="s">
        <v>2</v>
      </c>
      <c r="C3" s="12"/>
      <c r="D3" s="12"/>
      <c r="E3" s="12"/>
      <c r="F3" s="12"/>
      <c r="G3" s="12"/>
      <c r="H3" s="12"/>
    </row>
    <row r="6" spans="1:8" x14ac:dyDescent="0.25">
      <c r="A6" s="1" t="s">
        <v>3</v>
      </c>
    </row>
    <row r="7" spans="1:8" x14ac:dyDescent="0.25">
      <c r="A7" s="1" t="s">
        <v>4</v>
      </c>
      <c r="B7" s="11" t="s">
        <v>5</v>
      </c>
      <c r="C7" s="12"/>
      <c r="D7" s="12"/>
      <c r="E7" s="12"/>
      <c r="F7" s="12"/>
      <c r="G7" s="12"/>
      <c r="H7" s="12"/>
    </row>
    <row r="8" spans="1:8" x14ac:dyDescent="0.25">
      <c r="A8" s="1" t="s">
        <v>6</v>
      </c>
      <c r="B8" s="11" t="s">
        <v>7</v>
      </c>
      <c r="C8" s="12"/>
      <c r="D8" s="12"/>
      <c r="E8" s="12"/>
      <c r="F8" s="12"/>
      <c r="G8" s="12"/>
      <c r="H8" s="12"/>
    </row>
    <row r="9" spans="1:8" x14ac:dyDescent="0.25">
      <c r="A9" s="1" t="s">
        <v>8</v>
      </c>
      <c r="B9" s="11" t="s">
        <v>7</v>
      </c>
      <c r="C9" s="12"/>
      <c r="D9" s="12"/>
      <c r="E9" s="12"/>
      <c r="F9" s="12"/>
      <c r="G9" s="12"/>
      <c r="H9" s="12"/>
    </row>
    <row r="10" spans="1:8" x14ac:dyDescent="0.25">
      <c r="A10" s="1" t="s">
        <v>9</v>
      </c>
      <c r="B10" s="11" t="s">
        <v>10</v>
      </c>
      <c r="C10" s="12"/>
      <c r="D10" s="12"/>
      <c r="E10" s="12"/>
      <c r="F10" s="12"/>
      <c r="G10" s="12"/>
      <c r="H10" s="12"/>
    </row>
    <row r="11" spans="1:8" x14ac:dyDescent="0.25">
      <c r="A11" s="1" t="s">
        <v>11</v>
      </c>
      <c r="B11" s="11" t="s">
        <v>12</v>
      </c>
      <c r="C11" s="12"/>
      <c r="D11" s="12"/>
      <c r="E11" s="12"/>
      <c r="F11" s="12"/>
      <c r="G11" s="12"/>
      <c r="H11" s="12"/>
    </row>
    <row r="12" spans="1:8" x14ac:dyDescent="0.25">
      <c r="A12" s="1" t="s">
        <v>13</v>
      </c>
      <c r="B12" s="11" t="s">
        <v>14</v>
      </c>
      <c r="C12" s="12"/>
      <c r="D12" s="12"/>
      <c r="E12" s="12"/>
      <c r="F12" s="12"/>
      <c r="G12" s="12"/>
      <c r="H12" s="12"/>
    </row>
    <row r="13" spans="1:8" x14ac:dyDescent="0.25">
      <c r="A13" s="1" t="s">
        <v>15</v>
      </c>
      <c r="B13" s="11" t="s">
        <v>16</v>
      </c>
      <c r="C13" s="12"/>
      <c r="D13" s="12"/>
      <c r="E13" s="12"/>
      <c r="F13" s="12"/>
      <c r="G13" s="12"/>
      <c r="H13" s="12"/>
    </row>
    <row r="14" spans="1:8" x14ac:dyDescent="0.25">
      <c r="A14" s="1" t="s">
        <v>17</v>
      </c>
      <c r="B14" s="11" t="s">
        <v>18</v>
      </c>
      <c r="C14" s="12"/>
      <c r="D14" s="12"/>
      <c r="E14" s="12"/>
      <c r="F14" s="12"/>
      <c r="G14" s="12"/>
      <c r="H14" s="12"/>
    </row>
    <row r="15" spans="1:8" x14ac:dyDescent="0.25">
      <c r="A15" s="1" t="s">
        <v>19</v>
      </c>
      <c r="B15" s="11" t="s">
        <v>20</v>
      </c>
      <c r="C15" s="12"/>
      <c r="D15" s="12"/>
      <c r="E15" s="12"/>
      <c r="F15" s="12"/>
      <c r="G15" s="12"/>
      <c r="H15" s="12"/>
    </row>
    <row r="16" spans="1:8" x14ac:dyDescent="0.25">
      <c r="A16" s="1" t="s">
        <v>21</v>
      </c>
      <c r="B16" s="11" t="s">
        <v>22</v>
      </c>
      <c r="C16" s="12"/>
      <c r="D16" s="12"/>
      <c r="E16" s="12"/>
      <c r="F16" s="12"/>
      <c r="G16" s="12"/>
      <c r="H16" s="12"/>
    </row>
    <row r="17" spans="1:8" x14ac:dyDescent="0.25">
      <c r="A17" s="1" t="s">
        <v>23</v>
      </c>
      <c r="B17" s="11" t="s">
        <v>24</v>
      </c>
      <c r="C17" s="12"/>
      <c r="D17" s="12"/>
      <c r="E17" s="12"/>
      <c r="F17" s="12"/>
      <c r="G17" s="12"/>
      <c r="H17" s="12"/>
    </row>
    <row r="18" spans="1:8" x14ac:dyDescent="0.25">
      <c r="A18" s="1" t="s">
        <v>25</v>
      </c>
      <c r="B18" s="11" t="s">
        <v>26</v>
      </c>
      <c r="C18" s="12"/>
      <c r="D18" s="12"/>
      <c r="E18" s="12"/>
      <c r="F18" s="12"/>
      <c r="G18" s="12"/>
      <c r="H18" s="12"/>
    </row>
  </sheetData>
  <mergeCells count="14">
    <mergeCell ref="A1:H1"/>
    <mergeCell ref="B9:H9"/>
    <mergeCell ref="B3:H3"/>
    <mergeCell ref="B17:H17"/>
    <mergeCell ref="B18:H18"/>
    <mergeCell ref="B12:H12"/>
    <mergeCell ref="B15:H15"/>
    <mergeCell ref="B7:H7"/>
    <mergeCell ref="B11:H11"/>
    <mergeCell ref="B16:H16"/>
    <mergeCell ref="B10:H10"/>
    <mergeCell ref="B14:H14"/>
    <mergeCell ref="B13:H13"/>
    <mergeCell ref="B8:H8"/>
  </mergeCells>
  <pageMargins left="0.25" right="0.25" top="0.5" bottom="0.5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2"/>
  <sheetViews>
    <sheetView showGridLines="0" workbookViewId="0">
      <pane ySplit="1" topLeftCell="A2" activePane="bottomLeft" state="frozen"/>
      <selection pane="bottomLeft" activeCell="A2" sqref="A2:XFD2"/>
    </sheetView>
  </sheetViews>
  <sheetFormatPr defaultRowHeight="15" x14ac:dyDescent="0.25"/>
  <cols>
    <col min="1" max="1" width="13" customWidth="1"/>
    <col min="2" max="2" width="15" customWidth="1"/>
    <col min="3" max="3" width="13" customWidth="1"/>
    <col min="4" max="4" width="16" customWidth="1"/>
    <col min="5" max="5" width="19" customWidth="1"/>
    <col min="6" max="6" width="13" customWidth="1"/>
    <col min="7" max="7" width="18" customWidth="1"/>
    <col min="8" max="8" width="13" customWidth="1"/>
  </cols>
  <sheetData>
    <row r="1" spans="1:8" ht="26.1" customHeight="1" x14ac:dyDescent="0.25">
      <c r="A1" s="16" t="s">
        <v>27</v>
      </c>
      <c r="B1" s="12"/>
      <c r="C1" s="12"/>
      <c r="D1" s="12"/>
      <c r="E1" s="12"/>
      <c r="F1" s="12"/>
      <c r="G1" s="12"/>
      <c r="H1" s="12"/>
    </row>
    <row r="2" spans="1:8" ht="32.1" customHeight="1" x14ac:dyDescent="0.25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</row>
    <row r="3" spans="1:8" x14ac:dyDescent="0.25">
      <c r="A3" s="4" t="s">
        <v>36</v>
      </c>
      <c r="B3" s="4" t="s">
        <v>37</v>
      </c>
      <c r="C3" s="4"/>
      <c r="D3" s="4"/>
      <c r="E3" s="4">
        <v>0</v>
      </c>
      <c r="F3" s="4">
        <v>100</v>
      </c>
      <c r="G3" s="4">
        <v>0</v>
      </c>
      <c r="H3" s="4">
        <v>0.4</v>
      </c>
    </row>
    <row r="4" spans="1:8" x14ac:dyDescent="0.25">
      <c r="A4" s="2" t="s">
        <v>38</v>
      </c>
      <c r="B4" s="2" t="s">
        <v>39</v>
      </c>
      <c r="C4" s="2">
        <v>20</v>
      </c>
      <c r="D4" s="2">
        <v>10</v>
      </c>
      <c r="E4" s="2">
        <v>20</v>
      </c>
      <c r="F4" s="2">
        <v>50</v>
      </c>
      <c r="G4" s="2">
        <v>0</v>
      </c>
      <c r="H4" s="2">
        <v>0.42</v>
      </c>
    </row>
    <row r="5" spans="1:8" x14ac:dyDescent="0.25">
      <c r="A5" s="4" t="s">
        <v>40</v>
      </c>
      <c r="B5" s="4" t="s">
        <v>39</v>
      </c>
      <c r="C5" s="4">
        <v>20</v>
      </c>
      <c r="D5" s="4">
        <v>10</v>
      </c>
      <c r="E5" s="4">
        <v>20</v>
      </c>
      <c r="F5" s="4">
        <v>49.5</v>
      </c>
      <c r="G5" s="4">
        <v>0.5</v>
      </c>
      <c r="H5" s="4">
        <v>0.42</v>
      </c>
    </row>
    <row r="6" spans="1:8" x14ac:dyDescent="0.25">
      <c r="A6" s="2" t="s">
        <v>41</v>
      </c>
      <c r="B6" s="2" t="s">
        <v>39</v>
      </c>
      <c r="C6" s="2">
        <v>20</v>
      </c>
      <c r="D6" s="2">
        <v>10</v>
      </c>
      <c r="E6" s="2">
        <v>20</v>
      </c>
      <c r="F6" s="2">
        <v>49</v>
      </c>
      <c r="G6" s="2">
        <v>1</v>
      </c>
      <c r="H6" s="2">
        <v>0.42</v>
      </c>
    </row>
    <row r="7" spans="1:8" x14ac:dyDescent="0.25">
      <c r="A7" s="4" t="s">
        <v>42</v>
      </c>
      <c r="B7" s="4" t="s">
        <v>39</v>
      </c>
      <c r="C7" s="4">
        <v>20</v>
      </c>
      <c r="D7" s="4">
        <v>10</v>
      </c>
      <c r="E7" s="4">
        <v>20</v>
      </c>
      <c r="F7" s="4">
        <v>48.5</v>
      </c>
      <c r="G7" s="4">
        <v>1.5</v>
      </c>
      <c r="H7" s="4">
        <v>0.42</v>
      </c>
    </row>
    <row r="8" spans="1:8" x14ac:dyDescent="0.25">
      <c r="A8" s="2" t="s">
        <v>43</v>
      </c>
      <c r="B8" s="2" t="s">
        <v>39</v>
      </c>
      <c r="C8" s="2">
        <v>25</v>
      </c>
      <c r="D8" s="2">
        <v>15</v>
      </c>
      <c r="E8" s="2">
        <v>25</v>
      </c>
      <c r="F8" s="2">
        <v>34</v>
      </c>
      <c r="G8" s="2">
        <v>1</v>
      </c>
      <c r="H8" s="2">
        <v>0.4</v>
      </c>
    </row>
    <row r="9" spans="1:8" x14ac:dyDescent="0.25">
      <c r="A9" s="4" t="s">
        <v>44</v>
      </c>
      <c r="B9" s="4" t="s">
        <v>39</v>
      </c>
      <c r="C9" s="4">
        <v>25</v>
      </c>
      <c r="D9" s="4">
        <v>15</v>
      </c>
      <c r="E9" s="4">
        <v>25</v>
      </c>
      <c r="F9" s="4">
        <v>33.5</v>
      </c>
      <c r="G9" s="4">
        <v>1.5</v>
      </c>
      <c r="H9" s="4">
        <v>0.4</v>
      </c>
    </row>
    <row r="11" spans="1:8" x14ac:dyDescent="0.25">
      <c r="A11" s="2" t="s">
        <v>45</v>
      </c>
      <c r="B11" s="14" t="s">
        <v>163</v>
      </c>
      <c r="C11" s="12"/>
      <c r="D11" s="12"/>
      <c r="E11" s="12"/>
      <c r="F11" s="12"/>
      <c r="G11" s="12"/>
      <c r="H11" s="12"/>
    </row>
    <row r="12" spans="1:8" x14ac:dyDescent="0.25">
      <c r="B12" s="12"/>
      <c r="C12" s="12"/>
      <c r="D12" s="12"/>
      <c r="E12" s="12"/>
      <c r="F12" s="12"/>
      <c r="G12" s="12"/>
      <c r="H12" s="12"/>
    </row>
  </sheetData>
  <autoFilter ref="A2:H9" xr:uid="{00000000-0009-0000-0000-000001000000}"/>
  <mergeCells count="2">
    <mergeCell ref="B11:H12"/>
    <mergeCell ref="A1:H1"/>
  </mergeCells>
  <pageMargins left="0.25" right="0.25" top="0.5" bottom="0.5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9"/>
  <sheetViews>
    <sheetView showGridLines="0" workbookViewId="0">
      <pane ySplit="1" topLeftCell="A2" activePane="bottomLeft" state="frozen"/>
      <selection pane="bottomLeft" activeCell="A2" sqref="A2:XFD2"/>
    </sheetView>
  </sheetViews>
  <sheetFormatPr defaultRowHeight="15" x14ac:dyDescent="0.25"/>
  <cols>
    <col min="1" max="1" width="13" customWidth="1"/>
    <col min="2" max="2" width="17" customWidth="1"/>
    <col min="3" max="3" width="22" customWidth="1"/>
    <col min="4" max="4" width="23" customWidth="1"/>
    <col min="5" max="5" width="25" customWidth="1"/>
  </cols>
  <sheetData>
    <row r="1" spans="1:8" ht="26.1" customHeight="1" x14ac:dyDescent="0.25">
      <c r="A1" s="16" t="s">
        <v>46</v>
      </c>
      <c r="B1" s="12"/>
      <c r="C1" s="12"/>
      <c r="D1" s="12"/>
      <c r="E1" s="12"/>
      <c r="F1" s="12"/>
      <c r="G1" s="12"/>
      <c r="H1" s="12"/>
    </row>
    <row r="2" spans="1:8" ht="32.1" customHeight="1" x14ac:dyDescent="0.25">
      <c r="A2" s="3" t="s">
        <v>28</v>
      </c>
      <c r="B2" s="3" t="s">
        <v>47</v>
      </c>
      <c r="C2" s="3" t="s">
        <v>48</v>
      </c>
      <c r="D2" s="3" t="s">
        <v>49</v>
      </c>
      <c r="E2" s="3" t="s">
        <v>50</v>
      </c>
    </row>
    <row r="3" spans="1:8" x14ac:dyDescent="0.25">
      <c r="A3" s="4" t="s">
        <v>36</v>
      </c>
      <c r="B3" s="4">
        <v>2340</v>
      </c>
      <c r="C3" s="4">
        <v>6.42</v>
      </c>
      <c r="D3" s="4">
        <v>14.31</v>
      </c>
      <c r="E3" s="4">
        <v>9.1999999999999998E-2</v>
      </c>
    </row>
    <row r="4" spans="1:8" x14ac:dyDescent="0.25">
      <c r="A4" s="2" t="s">
        <v>38</v>
      </c>
      <c r="B4" s="2">
        <v>2215</v>
      </c>
      <c r="C4" s="2">
        <v>5.12</v>
      </c>
      <c r="D4" s="2">
        <v>11.26</v>
      </c>
      <c r="E4" s="2">
        <v>6.3E-2</v>
      </c>
    </row>
    <row r="5" spans="1:8" x14ac:dyDescent="0.25">
      <c r="A5" s="4" t="s">
        <v>40</v>
      </c>
      <c r="B5" s="4">
        <v>2228</v>
      </c>
      <c r="C5" s="4">
        <v>4.78</v>
      </c>
      <c r="D5" s="4">
        <v>10.41</v>
      </c>
      <c r="E5" s="4">
        <v>5.1999999999999998E-2</v>
      </c>
    </row>
    <row r="6" spans="1:8" x14ac:dyDescent="0.25">
      <c r="A6" s="2" t="s">
        <v>41</v>
      </c>
      <c r="B6" s="2">
        <v>2230</v>
      </c>
      <c r="C6" s="2">
        <v>4.3099999999999996</v>
      </c>
      <c r="D6" s="2">
        <v>9.36</v>
      </c>
      <c r="E6" s="2">
        <v>4.4999999999999998E-2</v>
      </c>
    </row>
    <row r="7" spans="1:8" x14ac:dyDescent="0.25">
      <c r="A7" s="4" t="s">
        <v>42</v>
      </c>
      <c r="B7" s="4">
        <v>2245</v>
      </c>
      <c r="C7" s="4">
        <v>4.12</v>
      </c>
      <c r="D7" s="4">
        <v>8.9700000000000006</v>
      </c>
      <c r="E7" s="4">
        <v>4.1000000000000002E-2</v>
      </c>
    </row>
    <row r="8" spans="1:8" x14ac:dyDescent="0.25">
      <c r="A8" s="2" t="s">
        <v>43</v>
      </c>
      <c r="B8" s="2">
        <v>2260</v>
      </c>
      <c r="C8" s="2">
        <v>3.95</v>
      </c>
      <c r="D8" s="2">
        <v>8.4499999999999993</v>
      </c>
      <c r="E8" s="2">
        <v>3.6999999999999998E-2</v>
      </c>
    </row>
    <row r="9" spans="1:8" x14ac:dyDescent="0.25">
      <c r="A9" s="4" t="s">
        <v>44</v>
      </c>
      <c r="B9" s="4">
        <v>2272</v>
      </c>
      <c r="C9" s="4">
        <v>3.61</v>
      </c>
      <c r="D9" s="4">
        <v>7.82</v>
      </c>
      <c r="E9" s="4">
        <v>3.1E-2</v>
      </c>
    </row>
  </sheetData>
  <autoFilter ref="A2:E9" xr:uid="{00000000-0009-0000-0000-000002000000}"/>
  <mergeCells count="1">
    <mergeCell ref="A1:H1"/>
  </mergeCells>
  <pageMargins left="0.25" right="0.25" top="0.5" bottom="0.5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9"/>
  <sheetViews>
    <sheetView showGridLines="0" workbookViewId="0">
      <pane ySplit="1" topLeftCell="A2" activePane="bottomLeft" state="frozen"/>
      <selection pane="bottomLeft" activeCell="A2" sqref="A2:XFD2"/>
    </sheetView>
  </sheetViews>
  <sheetFormatPr defaultRowHeight="15" x14ac:dyDescent="0.25"/>
  <cols>
    <col min="1" max="1" width="13" customWidth="1"/>
    <col min="2" max="2" width="28" customWidth="1"/>
    <col min="3" max="3" width="25" customWidth="1"/>
    <col min="4" max="4" width="34" customWidth="1"/>
    <col min="5" max="5" width="32" customWidth="1"/>
  </cols>
  <sheetData>
    <row r="1" spans="1:8" ht="26.1" customHeight="1" x14ac:dyDescent="0.25">
      <c r="A1" s="16" t="s">
        <v>51</v>
      </c>
      <c r="B1" s="12"/>
      <c r="C1" s="12"/>
      <c r="D1" s="12"/>
      <c r="E1" s="12"/>
      <c r="F1" s="12"/>
      <c r="G1" s="12"/>
      <c r="H1" s="12"/>
    </row>
    <row r="2" spans="1:8" ht="32.1" customHeight="1" x14ac:dyDescent="0.25">
      <c r="A2" s="3" t="s">
        <v>28</v>
      </c>
      <c r="B2" s="3" t="s">
        <v>52</v>
      </c>
      <c r="C2" s="3" t="s">
        <v>53</v>
      </c>
      <c r="D2" s="3" t="s">
        <v>54</v>
      </c>
      <c r="E2" s="3" t="s">
        <v>55</v>
      </c>
    </row>
    <row r="3" spans="1:8" x14ac:dyDescent="0.25">
      <c r="A3" s="4" t="s">
        <v>36</v>
      </c>
      <c r="B3" s="4">
        <v>38.6</v>
      </c>
      <c r="C3" s="4">
        <v>6.12</v>
      </c>
      <c r="D3" s="4">
        <v>3.21</v>
      </c>
      <c r="E3" s="4">
        <v>1.1200000000000001</v>
      </c>
    </row>
    <row r="4" spans="1:8" x14ac:dyDescent="0.25">
      <c r="A4" s="2" t="s">
        <v>38</v>
      </c>
      <c r="B4" s="2">
        <v>41.8</v>
      </c>
      <c r="C4" s="2">
        <v>6.85</v>
      </c>
      <c r="D4" s="2">
        <v>3.62</v>
      </c>
      <c r="E4" s="2">
        <v>1.45</v>
      </c>
    </row>
    <row r="5" spans="1:8" x14ac:dyDescent="0.25">
      <c r="A5" s="4" t="s">
        <v>40</v>
      </c>
      <c r="B5" s="4">
        <v>45.7</v>
      </c>
      <c r="C5" s="4">
        <v>7.32</v>
      </c>
      <c r="D5" s="4">
        <v>3.91</v>
      </c>
      <c r="E5" s="4">
        <v>1.86</v>
      </c>
    </row>
    <row r="6" spans="1:8" x14ac:dyDescent="0.25">
      <c r="A6" s="2" t="s">
        <v>41</v>
      </c>
      <c r="B6" s="2">
        <v>48.9</v>
      </c>
      <c r="C6" s="2">
        <v>7.96</v>
      </c>
      <c r="D6" s="2">
        <v>4.28</v>
      </c>
      <c r="E6" s="2">
        <v>2.08</v>
      </c>
    </row>
    <row r="7" spans="1:8" x14ac:dyDescent="0.25">
      <c r="A7" s="4" t="s">
        <v>42</v>
      </c>
      <c r="B7" s="4">
        <v>50.1</v>
      </c>
      <c r="C7" s="4">
        <v>8.2100000000000009</v>
      </c>
      <c r="D7" s="4">
        <v>4.42</v>
      </c>
      <c r="E7" s="4">
        <v>2.21</v>
      </c>
    </row>
    <row r="8" spans="1:8" x14ac:dyDescent="0.25">
      <c r="A8" s="2" t="s">
        <v>43</v>
      </c>
      <c r="B8" s="2">
        <v>52.6</v>
      </c>
      <c r="C8" s="2">
        <v>8.76</v>
      </c>
      <c r="D8" s="2">
        <v>4.71</v>
      </c>
      <c r="E8" s="2">
        <v>2.29</v>
      </c>
    </row>
    <row r="9" spans="1:8" x14ac:dyDescent="0.25">
      <c r="A9" s="4" t="s">
        <v>44</v>
      </c>
      <c r="B9" s="4">
        <v>55.4</v>
      </c>
      <c r="C9" s="4">
        <v>9.2799999999999994</v>
      </c>
      <c r="D9" s="4">
        <v>4.95</v>
      </c>
      <c r="E9" s="4">
        <v>2.35</v>
      </c>
    </row>
  </sheetData>
  <autoFilter ref="A2:E9" xr:uid="{00000000-0009-0000-0000-000003000000}"/>
  <mergeCells count="1">
    <mergeCell ref="A1:H1"/>
  </mergeCells>
  <pageMargins left="0.25" right="0.25" top="0.5" bottom="0.5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9"/>
  <sheetViews>
    <sheetView showGridLines="0" workbookViewId="0">
      <pane ySplit="1" topLeftCell="A2" activePane="bottomLeft" state="frozen"/>
      <selection pane="bottomLeft" activeCell="A2" sqref="A2:XFD2"/>
    </sheetView>
  </sheetViews>
  <sheetFormatPr defaultRowHeight="15" x14ac:dyDescent="0.25"/>
  <cols>
    <col min="1" max="1" width="13" customWidth="1"/>
    <col min="2" max="2" width="28" customWidth="1"/>
    <col min="3" max="3" width="26" customWidth="1"/>
    <col min="4" max="4" width="23" customWidth="1"/>
    <col min="5" max="5" width="26" customWidth="1"/>
    <col min="6" max="6" width="29" customWidth="1"/>
  </cols>
  <sheetData>
    <row r="1" spans="1:8" ht="26.1" customHeight="1" x14ac:dyDescent="0.25">
      <c r="A1" s="16" t="s">
        <v>56</v>
      </c>
      <c r="B1" s="12"/>
      <c r="C1" s="12"/>
      <c r="D1" s="12"/>
      <c r="E1" s="12"/>
      <c r="F1" s="12"/>
      <c r="G1" s="12"/>
      <c r="H1" s="12"/>
    </row>
    <row r="2" spans="1:8" ht="32.1" customHeight="1" x14ac:dyDescent="0.25">
      <c r="A2" s="3" t="s">
        <v>28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</row>
    <row r="3" spans="1:8" x14ac:dyDescent="0.25">
      <c r="A3" s="4" t="s">
        <v>36</v>
      </c>
      <c r="B3" s="4">
        <v>92.1</v>
      </c>
      <c r="C3" s="4">
        <v>75.3</v>
      </c>
      <c r="D3" s="4">
        <v>70.2</v>
      </c>
      <c r="E3" s="4">
        <v>62.4</v>
      </c>
      <c r="F3" s="4">
        <v>78.599999999999994</v>
      </c>
    </row>
    <row r="4" spans="1:8" x14ac:dyDescent="0.25">
      <c r="A4" s="2" t="s">
        <v>38</v>
      </c>
      <c r="B4" s="2">
        <v>94.6</v>
      </c>
      <c r="C4" s="2">
        <v>81.7</v>
      </c>
      <c r="D4" s="2">
        <v>76.5</v>
      </c>
      <c r="E4" s="2">
        <v>69.3</v>
      </c>
      <c r="F4" s="2">
        <v>83.2</v>
      </c>
    </row>
    <row r="5" spans="1:8" x14ac:dyDescent="0.25">
      <c r="A5" s="4" t="s">
        <v>40</v>
      </c>
      <c r="B5" s="4">
        <v>95.8</v>
      </c>
      <c r="C5" s="4">
        <v>86.3</v>
      </c>
      <c r="D5" s="4">
        <v>81.400000000000006</v>
      </c>
      <c r="E5" s="4">
        <v>72.2</v>
      </c>
      <c r="F5" s="4">
        <v>86.1</v>
      </c>
    </row>
    <row r="6" spans="1:8" x14ac:dyDescent="0.25">
      <c r="A6" s="2" t="s">
        <v>41</v>
      </c>
      <c r="B6" s="2">
        <v>96.5</v>
      </c>
      <c r="C6" s="2">
        <v>88.9</v>
      </c>
      <c r="D6" s="2">
        <v>84.7</v>
      </c>
      <c r="E6" s="2">
        <v>75.099999999999994</v>
      </c>
      <c r="F6" s="2">
        <v>88.7</v>
      </c>
    </row>
    <row r="7" spans="1:8" x14ac:dyDescent="0.25">
      <c r="A7" s="4" t="s">
        <v>42</v>
      </c>
      <c r="B7" s="4">
        <v>97.1</v>
      </c>
      <c r="C7" s="4">
        <v>91.2</v>
      </c>
      <c r="D7" s="4">
        <v>86.2</v>
      </c>
      <c r="E7" s="4">
        <v>77.599999999999994</v>
      </c>
      <c r="F7" s="4">
        <v>90.3</v>
      </c>
    </row>
    <row r="8" spans="1:8" x14ac:dyDescent="0.25">
      <c r="A8" s="2" t="s">
        <v>43</v>
      </c>
      <c r="B8" s="2">
        <v>96.8</v>
      </c>
      <c r="C8" s="2">
        <v>92.4</v>
      </c>
      <c r="D8" s="2">
        <v>88.6</v>
      </c>
      <c r="E8" s="2">
        <v>79.599999999999994</v>
      </c>
      <c r="F8" s="2">
        <v>91.1</v>
      </c>
    </row>
    <row r="9" spans="1:8" x14ac:dyDescent="0.25">
      <c r="A9" s="4" t="s">
        <v>44</v>
      </c>
      <c r="B9" s="4">
        <v>97.6</v>
      </c>
      <c r="C9" s="4">
        <v>93.8</v>
      </c>
      <c r="D9" s="4">
        <v>90.3</v>
      </c>
      <c r="E9" s="4">
        <v>81.5</v>
      </c>
      <c r="F9" s="4">
        <v>92.4</v>
      </c>
    </row>
  </sheetData>
  <autoFilter ref="A2:F9" xr:uid="{00000000-0009-0000-0000-000004000000}"/>
  <mergeCells count="1">
    <mergeCell ref="A1:H1"/>
  </mergeCells>
  <pageMargins left="0.25" right="0.25" top="0.5" bottom="0.5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10"/>
  <sheetViews>
    <sheetView showGridLines="0" zoomScaleNormal="100" workbookViewId="0">
      <pane ySplit="2" topLeftCell="A4" activePane="bottomLeft" state="frozen"/>
      <selection pane="bottomLeft" activeCell="E17" sqref="E17"/>
    </sheetView>
  </sheetViews>
  <sheetFormatPr defaultRowHeight="15" x14ac:dyDescent="0.25"/>
  <cols>
    <col min="1" max="1" width="13" customWidth="1"/>
    <col min="2" max="3" width="20" customWidth="1"/>
    <col min="4" max="4" width="22" customWidth="1"/>
    <col min="5" max="5" width="24" customWidth="1"/>
    <col min="6" max="6" width="20" customWidth="1"/>
    <col min="7" max="7" width="33" customWidth="1"/>
    <col min="8" max="8" width="34" customWidth="1"/>
    <col min="9" max="9" width="19" customWidth="1"/>
  </cols>
  <sheetData>
    <row r="1" spans="1:9" ht="26.1" customHeight="1" x14ac:dyDescent="0.25">
      <c r="A1" s="16" t="s">
        <v>62</v>
      </c>
      <c r="B1" s="12"/>
      <c r="C1" s="12"/>
      <c r="D1" s="12"/>
      <c r="E1" s="12"/>
      <c r="F1" s="12"/>
      <c r="G1" s="12"/>
      <c r="H1" s="12"/>
    </row>
    <row r="2" spans="1:9" ht="32.1" customHeight="1" x14ac:dyDescent="0.25">
      <c r="A2" s="15" t="s">
        <v>63</v>
      </c>
      <c r="B2" s="12"/>
      <c r="C2" s="12"/>
      <c r="D2" s="12"/>
      <c r="E2" s="12"/>
      <c r="F2" s="12"/>
      <c r="G2" s="12"/>
      <c r="H2" s="12"/>
    </row>
    <row r="3" spans="1:9" ht="32.1" customHeight="1" x14ac:dyDescent="0.25">
      <c r="A3" s="3" t="s">
        <v>28</v>
      </c>
      <c r="B3" s="3" t="s">
        <v>64</v>
      </c>
      <c r="C3" s="3" t="s">
        <v>65</v>
      </c>
      <c r="D3" s="3" t="s">
        <v>66</v>
      </c>
      <c r="E3" s="3" t="s">
        <v>67</v>
      </c>
      <c r="F3" s="3" t="s">
        <v>68</v>
      </c>
      <c r="G3" s="3" t="s">
        <v>69</v>
      </c>
      <c r="H3" s="3" t="s">
        <v>70</v>
      </c>
      <c r="I3" s="3" t="s">
        <v>71</v>
      </c>
    </row>
    <row r="4" spans="1:9" x14ac:dyDescent="0.25">
      <c r="A4" s="4" t="s">
        <v>36</v>
      </c>
      <c r="B4" s="4">
        <v>1.62</v>
      </c>
      <c r="C4" s="4">
        <v>0.78</v>
      </c>
      <c r="D4" s="4">
        <v>920</v>
      </c>
      <c r="E4" s="4">
        <v>9.6</v>
      </c>
      <c r="F4" s="4">
        <v>2340</v>
      </c>
      <c r="G4" s="5">
        <f t="shared" ref="G4:G10" si="0">B4/(F4*D4)*1000000</f>
        <v>0.75250836120401343</v>
      </c>
      <c r="H4" s="5">
        <f t="shared" ref="H4:H10" si="1">C4-G4</f>
        <v>2.7491638795986595E-2</v>
      </c>
      <c r="I4" s="4" t="str">
        <f t="shared" ref="I4:I10" si="2">IF(ABS(H4)&lt;0.03,"Approx. consistent","CHECK source units/values")</f>
        <v>Approx. consistent</v>
      </c>
    </row>
    <row r="5" spans="1:9" x14ac:dyDescent="0.25">
      <c r="A5" s="2" t="s">
        <v>38</v>
      </c>
      <c r="B5" s="2">
        <v>1.32</v>
      </c>
      <c r="C5" s="2">
        <v>0.64</v>
      </c>
      <c r="D5" s="2">
        <v>980</v>
      </c>
      <c r="E5" s="2">
        <v>8.8000000000000007</v>
      </c>
      <c r="F5" s="2">
        <v>2215</v>
      </c>
      <c r="G5" s="6">
        <f t="shared" si="0"/>
        <v>0.60809876998203349</v>
      </c>
      <c r="H5" s="6">
        <f t="shared" si="1"/>
        <v>3.190123001796652E-2</v>
      </c>
      <c r="I5" s="2" t="str">
        <f t="shared" si="2"/>
        <v>CHECK source units/values</v>
      </c>
    </row>
    <row r="6" spans="1:9" x14ac:dyDescent="0.25">
      <c r="A6" s="4" t="s">
        <v>40</v>
      </c>
      <c r="B6" s="4">
        <v>1.18</v>
      </c>
      <c r="C6" s="4">
        <v>0.56000000000000005</v>
      </c>
      <c r="D6" s="4">
        <v>1005</v>
      </c>
      <c r="E6" s="4">
        <v>8.1</v>
      </c>
      <c r="F6" s="4">
        <v>2228</v>
      </c>
      <c r="G6" s="5">
        <f t="shared" si="0"/>
        <v>0.52698804005109101</v>
      </c>
      <c r="H6" s="5">
        <f t="shared" si="1"/>
        <v>3.3011959948909042E-2</v>
      </c>
      <c r="I6" s="4" t="str">
        <f t="shared" si="2"/>
        <v>CHECK source units/values</v>
      </c>
    </row>
    <row r="7" spans="1:9" x14ac:dyDescent="0.25">
      <c r="A7" s="2" t="s">
        <v>41</v>
      </c>
      <c r="B7" s="2">
        <v>1.0900000000000001</v>
      </c>
      <c r="C7" s="2">
        <v>0.52</v>
      </c>
      <c r="D7" s="2">
        <v>1018</v>
      </c>
      <c r="E7" s="2">
        <v>7.6</v>
      </c>
      <c r="F7" s="2">
        <v>2230</v>
      </c>
      <c r="G7" s="6">
        <f t="shared" si="0"/>
        <v>0.48014659888817429</v>
      </c>
      <c r="H7" s="6">
        <f t="shared" si="1"/>
        <v>3.9853401111825726E-2</v>
      </c>
      <c r="I7" s="2" t="str">
        <f t="shared" si="2"/>
        <v>CHECK source units/values</v>
      </c>
    </row>
    <row r="8" spans="1:9" x14ac:dyDescent="0.25">
      <c r="A8" s="4" t="s">
        <v>42</v>
      </c>
      <c r="B8" s="4">
        <v>1.05</v>
      </c>
      <c r="C8" s="4">
        <v>0.49</v>
      </c>
      <c r="D8" s="4">
        <v>1025</v>
      </c>
      <c r="E8" s="4">
        <v>7.4</v>
      </c>
      <c r="F8" s="4">
        <v>2245</v>
      </c>
      <c r="G8" s="5">
        <f t="shared" si="0"/>
        <v>0.4562985496224673</v>
      </c>
      <c r="H8" s="5">
        <f t="shared" si="1"/>
        <v>3.3701450377532693E-2</v>
      </c>
      <c r="I8" s="4" t="str">
        <f t="shared" si="2"/>
        <v>CHECK source units/values</v>
      </c>
    </row>
    <row r="9" spans="1:9" x14ac:dyDescent="0.25">
      <c r="A9" s="2" t="s">
        <v>43</v>
      </c>
      <c r="B9" s="2">
        <v>0.98</v>
      </c>
      <c r="C9" s="2">
        <v>0.46</v>
      </c>
      <c r="D9" s="2">
        <v>1032</v>
      </c>
      <c r="E9" s="2">
        <v>7.2</v>
      </c>
      <c r="F9" s="2">
        <v>2260</v>
      </c>
      <c r="G9" s="6">
        <f t="shared" si="0"/>
        <v>0.42018247924813062</v>
      </c>
      <c r="H9" s="6">
        <f t="shared" si="1"/>
        <v>3.9817520751869395E-2</v>
      </c>
      <c r="I9" s="2" t="str">
        <f t="shared" si="2"/>
        <v>CHECK source units/values</v>
      </c>
    </row>
    <row r="10" spans="1:9" x14ac:dyDescent="0.25">
      <c r="A10" s="4" t="s">
        <v>44</v>
      </c>
      <c r="B10" s="4">
        <v>0.93</v>
      </c>
      <c r="C10" s="4">
        <v>0.43</v>
      </c>
      <c r="D10" s="4">
        <v>1038</v>
      </c>
      <c r="E10" s="4">
        <v>7</v>
      </c>
      <c r="F10" s="4">
        <v>2272</v>
      </c>
      <c r="G10" s="5">
        <f t="shared" si="0"/>
        <v>0.3943458438492225</v>
      </c>
      <c r="H10" s="5">
        <f t="shared" si="1"/>
        <v>3.5654156150777494E-2</v>
      </c>
      <c r="I10" s="4" t="str">
        <f t="shared" si="2"/>
        <v>CHECK source units/values</v>
      </c>
    </row>
  </sheetData>
  <autoFilter ref="A3:I10" xr:uid="{00000000-0009-0000-0000-000005000000}"/>
  <mergeCells count="2">
    <mergeCell ref="A2:H2"/>
    <mergeCell ref="A1:H1"/>
  </mergeCells>
  <pageMargins left="0.25" right="0.25" top="0.5" bottom="0.5" header="0.5" footer="0.5"/>
  <pageSetup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38"/>
  <sheetViews>
    <sheetView showGridLines="0" workbookViewId="0">
      <pane ySplit="2" topLeftCell="A3" activePane="bottomLeft" state="frozen"/>
      <selection pane="bottomLeft" sqref="A1:H1"/>
    </sheetView>
  </sheetViews>
  <sheetFormatPr defaultRowHeight="15" x14ac:dyDescent="0.25"/>
  <cols>
    <col min="1" max="2" width="13" customWidth="1"/>
    <col min="3" max="3" width="10" customWidth="1"/>
    <col min="4" max="4" width="16" customWidth="1"/>
    <col min="5" max="5" width="24" customWidth="1"/>
    <col min="6" max="6" width="20" customWidth="1"/>
    <col min="7" max="7" width="14" customWidth="1"/>
    <col min="8" max="8" width="22" customWidth="1"/>
    <col min="9" max="9" width="16" customWidth="1"/>
    <col min="10" max="10" width="12" customWidth="1"/>
    <col min="11" max="11" width="16" customWidth="1"/>
    <col min="12" max="12" width="14" customWidth="1"/>
    <col min="13" max="14" width="16" customWidth="1"/>
    <col min="15" max="16" width="28" customWidth="1"/>
    <col min="17" max="17" width="14" customWidth="1"/>
    <col min="18" max="18" width="32" customWidth="1"/>
  </cols>
  <sheetData>
    <row r="1" spans="1:18" ht="26.1" customHeight="1" x14ac:dyDescent="0.25">
      <c r="A1" s="16" t="s">
        <v>72</v>
      </c>
      <c r="B1" s="12"/>
      <c r="C1" s="12"/>
      <c r="D1" s="12"/>
      <c r="E1" s="12"/>
      <c r="F1" s="12"/>
      <c r="G1" s="12"/>
      <c r="H1" s="12"/>
    </row>
    <row r="2" spans="1:18" ht="32.1" customHeight="1" x14ac:dyDescent="0.25">
      <c r="A2" s="15" t="s">
        <v>73</v>
      </c>
      <c r="B2" s="12"/>
      <c r="C2" s="12"/>
      <c r="D2" s="12"/>
      <c r="E2" s="12"/>
      <c r="F2" s="12"/>
      <c r="G2" s="12"/>
      <c r="H2" s="12"/>
    </row>
    <row r="3" spans="1:18" ht="32.1" customHeight="1" x14ac:dyDescent="0.25">
      <c r="A3" s="3" t="s">
        <v>74</v>
      </c>
      <c r="B3" s="3" t="s">
        <v>75</v>
      </c>
      <c r="C3" s="3" t="s">
        <v>28</v>
      </c>
      <c r="D3" s="3" t="s">
        <v>76</v>
      </c>
      <c r="E3" s="3" t="s">
        <v>77</v>
      </c>
      <c r="F3" s="3" t="s">
        <v>78</v>
      </c>
      <c r="G3" s="3" t="s">
        <v>79</v>
      </c>
      <c r="H3" s="3" t="s">
        <v>80</v>
      </c>
      <c r="I3" s="3" t="s">
        <v>81</v>
      </c>
      <c r="J3" s="3" t="s">
        <v>82</v>
      </c>
      <c r="K3" s="3" t="s">
        <v>83</v>
      </c>
      <c r="L3" s="3" t="s">
        <v>84</v>
      </c>
      <c r="M3" s="3" t="s">
        <v>85</v>
      </c>
      <c r="N3" s="3" t="s">
        <v>86</v>
      </c>
      <c r="O3" s="3" t="s">
        <v>87</v>
      </c>
      <c r="P3" s="3" t="s">
        <v>88</v>
      </c>
      <c r="Q3" s="3" t="s">
        <v>89</v>
      </c>
      <c r="R3" s="3" t="s">
        <v>90</v>
      </c>
    </row>
    <row r="4" spans="1:18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</sheetData>
  <autoFilter ref="A3:R38" xr:uid="{00000000-0009-0000-0000-000006000000}"/>
  <mergeCells count="2">
    <mergeCell ref="A2:H2"/>
    <mergeCell ref="A1:H1"/>
  </mergeCells>
  <dataValidations count="1">
    <dataValidation type="list" allowBlank="1" sqref="Q4:Q38" xr:uid="{00000000-0002-0000-0600-000000000000}">
      <formula1>"Y,N"</formula1>
    </dataValidation>
  </dataValidations>
  <pageMargins left="0.25" right="0.25" top="0.5" bottom="0.5" header="0.5" footer="0.5"/>
  <pageSetup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P28"/>
  <sheetViews>
    <sheetView showGridLines="0" workbookViewId="0">
      <pane ySplit="2" topLeftCell="A3" activePane="bottomLeft" state="frozen"/>
      <selection pane="bottomLeft" sqref="A1:H1"/>
    </sheetView>
  </sheetViews>
  <sheetFormatPr defaultRowHeight="15" x14ac:dyDescent="0.25"/>
  <cols>
    <col min="1" max="1" width="14" customWidth="1"/>
    <col min="2" max="2" width="18" customWidth="1"/>
    <col min="3" max="3" width="10" customWidth="1"/>
    <col min="4" max="4" width="12" customWidth="1"/>
    <col min="5" max="5" width="22" customWidth="1"/>
    <col min="6" max="6" width="24" customWidth="1"/>
    <col min="7" max="7" width="25" customWidth="1"/>
    <col min="8" max="8" width="16" customWidth="1"/>
    <col min="9" max="9" width="26" customWidth="1"/>
    <col min="10" max="10" width="30" customWidth="1"/>
    <col min="11" max="11" width="18" customWidth="1"/>
    <col min="12" max="13" width="22" customWidth="1"/>
    <col min="14" max="14" width="28" customWidth="1"/>
    <col min="15" max="15" width="24" customWidth="1"/>
    <col min="16" max="16" width="20" customWidth="1"/>
  </cols>
  <sheetData>
    <row r="1" spans="1:16" ht="26.1" customHeight="1" x14ac:dyDescent="0.25">
      <c r="A1" s="16" t="s">
        <v>91</v>
      </c>
      <c r="B1" s="12"/>
      <c r="C1" s="12"/>
      <c r="D1" s="12"/>
      <c r="E1" s="12"/>
      <c r="F1" s="12"/>
      <c r="G1" s="12"/>
      <c r="H1" s="12"/>
    </row>
    <row r="2" spans="1:16" ht="32.1" customHeight="1" x14ac:dyDescent="0.25">
      <c r="A2" s="15" t="s">
        <v>92</v>
      </c>
      <c r="B2" s="12"/>
      <c r="C2" s="12"/>
      <c r="D2" s="12"/>
      <c r="E2" s="12"/>
      <c r="F2" s="12"/>
      <c r="G2" s="12"/>
      <c r="H2" s="12"/>
    </row>
    <row r="3" spans="1:16" ht="32.1" customHeight="1" x14ac:dyDescent="0.25">
      <c r="A3" s="3" t="s">
        <v>93</v>
      </c>
      <c r="B3" s="3" t="s">
        <v>94</v>
      </c>
      <c r="C3" s="3" t="s">
        <v>28</v>
      </c>
      <c r="D3" s="3" t="s">
        <v>75</v>
      </c>
      <c r="E3" s="3" t="s">
        <v>95</v>
      </c>
      <c r="F3" s="3" t="s">
        <v>96</v>
      </c>
      <c r="G3" s="3" t="s">
        <v>97</v>
      </c>
      <c r="H3" s="3" t="s">
        <v>86</v>
      </c>
      <c r="I3" s="3" t="s">
        <v>98</v>
      </c>
      <c r="J3" s="3" t="s">
        <v>99</v>
      </c>
      <c r="K3" s="3" t="s">
        <v>100</v>
      </c>
      <c r="L3" s="3" t="s">
        <v>101</v>
      </c>
      <c r="M3" s="3" t="s">
        <v>102</v>
      </c>
      <c r="N3" s="3" t="s">
        <v>103</v>
      </c>
      <c r="O3" s="3" t="s">
        <v>104</v>
      </c>
      <c r="P3" s="3" t="s">
        <v>105</v>
      </c>
    </row>
    <row r="4" spans="1:16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</sheetData>
  <autoFilter ref="A3:P28" xr:uid="{00000000-0009-0000-0000-000007000000}"/>
  <mergeCells count="2">
    <mergeCell ref="A2:H2"/>
    <mergeCell ref="A1:H1"/>
  </mergeCells>
  <pageMargins left="0.25" right="0.25" top="0.5" bottom="0.5" header="0.5" footer="0.5"/>
  <pageSetup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38"/>
  <sheetViews>
    <sheetView showGridLines="0" workbookViewId="0">
      <pane ySplit="2" topLeftCell="A3" activePane="bottomLeft" state="frozen"/>
      <selection pane="bottomLeft" sqref="A1:H1"/>
    </sheetView>
  </sheetViews>
  <sheetFormatPr defaultRowHeight="15" x14ac:dyDescent="0.25"/>
  <cols>
    <col min="1" max="1" width="10" customWidth="1"/>
    <col min="2" max="2" width="12" customWidth="1"/>
    <col min="3" max="3" width="16" customWidth="1"/>
    <col min="4" max="4" width="22" customWidth="1"/>
    <col min="5" max="5" width="14" customWidth="1"/>
    <col min="6" max="10" width="18" customWidth="1"/>
    <col min="11" max="11" width="20" customWidth="1"/>
    <col min="12" max="12" width="25" customWidth="1"/>
    <col min="13" max="13" width="18" customWidth="1"/>
    <col min="14" max="14" width="16" customWidth="1"/>
    <col min="15" max="15" width="25" customWidth="1"/>
    <col min="16" max="16" width="24" customWidth="1"/>
    <col min="17" max="17" width="30" customWidth="1"/>
    <col min="18" max="18" width="26" customWidth="1"/>
  </cols>
  <sheetData>
    <row r="1" spans="1:18" ht="26.1" customHeight="1" x14ac:dyDescent="0.25">
      <c r="A1" s="16" t="s">
        <v>106</v>
      </c>
      <c r="B1" s="12"/>
      <c r="C1" s="12"/>
      <c r="D1" s="12"/>
      <c r="E1" s="12"/>
      <c r="F1" s="12"/>
      <c r="G1" s="12"/>
      <c r="H1" s="12"/>
    </row>
    <row r="2" spans="1:18" ht="32.1" customHeight="1" x14ac:dyDescent="0.25">
      <c r="A2" s="15" t="s">
        <v>107</v>
      </c>
      <c r="B2" s="12"/>
      <c r="C2" s="12"/>
      <c r="D2" s="12"/>
      <c r="E2" s="12"/>
      <c r="F2" s="12"/>
      <c r="G2" s="12"/>
      <c r="H2" s="12"/>
    </row>
    <row r="3" spans="1:18" ht="32.1" customHeight="1" x14ac:dyDescent="0.25">
      <c r="A3" s="3" t="s">
        <v>28</v>
      </c>
      <c r="B3" s="3" t="s">
        <v>75</v>
      </c>
      <c r="C3" s="3" t="s">
        <v>76</v>
      </c>
      <c r="D3" s="3" t="s">
        <v>108</v>
      </c>
      <c r="E3" s="3" t="s">
        <v>109</v>
      </c>
      <c r="F3" s="3" t="s">
        <v>110</v>
      </c>
      <c r="G3" s="3" t="s">
        <v>111</v>
      </c>
      <c r="H3" s="3" t="s">
        <v>112</v>
      </c>
      <c r="I3" s="3" t="s">
        <v>113</v>
      </c>
      <c r="J3" s="3" t="s">
        <v>114</v>
      </c>
      <c r="K3" s="3" t="s">
        <v>115</v>
      </c>
      <c r="L3" s="3" t="s">
        <v>116</v>
      </c>
      <c r="M3" s="3" t="s">
        <v>117</v>
      </c>
      <c r="N3" s="3" t="s">
        <v>118</v>
      </c>
      <c r="O3" s="3" t="s">
        <v>119</v>
      </c>
      <c r="P3" s="3" t="s">
        <v>120</v>
      </c>
      <c r="Q3" s="3" t="s">
        <v>121</v>
      </c>
      <c r="R3" s="3" t="s">
        <v>122</v>
      </c>
    </row>
    <row r="4" spans="1:18" x14ac:dyDescent="0.25">
      <c r="A4" s="4"/>
      <c r="B4" s="4"/>
      <c r="C4" s="4"/>
      <c r="D4" s="4"/>
      <c r="E4" s="4"/>
      <c r="F4" s="4"/>
      <c r="G4" s="4"/>
      <c r="H4" s="4"/>
      <c r="I4" s="4"/>
      <c r="J4" s="7" t="str">
        <f t="shared" ref="J4:J38" si="0">IF(OR(H4="",I4="",H4=0),"",I4/H4*100)</f>
        <v/>
      </c>
      <c r="K4" s="4"/>
      <c r="L4" s="4"/>
      <c r="M4" s="4"/>
      <c r="N4" s="4"/>
      <c r="O4" s="4"/>
      <c r="P4" s="4"/>
      <c r="Q4" s="4"/>
      <c r="R4" s="4"/>
    </row>
    <row r="5" spans="1:18" x14ac:dyDescent="0.25">
      <c r="A5" s="2"/>
      <c r="B5" s="2"/>
      <c r="C5" s="2"/>
      <c r="D5" s="2"/>
      <c r="E5" s="2"/>
      <c r="F5" s="2"/>
      <c r="G5" s="2"/>
      <c r="H5" s="2"/>
      <c r="I5" s="2"/>
      <c r="J5" s="8" t="str">
        <f t="shared" si="0"/>
        <v/>
      </c>
      <c r="K5" s="2"/>
      <c r="L5" s="2"/>
      <c r="M5" s="2"/>
      <c r="N5" s="2"/>
      <c r="O5" s="2"/>
      <c r="P5" s="2"/>
      <c r="Q5" s="2"/>
      <c r="R5" s="2"/>
    </row>
    <row r="6" spans="1:18" x14ac:dyDescent="0.25">
      <c r="A6" s="4"/>
      <c r="B6" s="4"/>
      <c r="C6" s="4"/>
      <c r="D6" s="4"/>
      <c r="E6" s="4"/>
      <c r="F6" s="4"/>
      <c r="G6" s="4"/>
      <c r="H6" s="4"/>
      <c r="I6" s="4"/>
      <c r="J6" s="7" t="str">
        <f t="shared" si="0"/>
        <v/>
      </c>
      <c r="K6" s="4"/>
      <c r="L6" s="4"/>
      <c r="M6" s="4"/>
      <c r="N6" s="4"/>
      <c r="O6" s="4"/>
      <c r="P6" s="4"/>
      <c r="Q6" s="4"/>
      <c r="R6" s="4"/>
    </row>
    <row r="7" spans="1:18" x14ac:dyDescent="0.25">
      <c r="A7" s="2"/>
      <c r="B7" s="2"/>
      <c r="C7" s="2"/>
      <c r="D7" s="2"/>
      <c r="E7" s="2"/>
      <c r="F7" s="2"/>
      <c r="G7" s="2"/>
      <c r="H7" s="2"/>
      <c r="I7" s="2"/>
      <c r="J7" s="8" t="str">
        <f t="shared" si="0"/>
        <v/>
      </c>
      <c r="K7" s="2"/>
      <c r="L7" s="2"/>
      <c r="M7" s="2"/>
      <c r="N7" s="2"/>
      <c r="O7" s="2"/>
      <c r="P7" s="2"/>
      <c r="Q7" s="2"/>
      <c r="R7" s="2"/>
    </row>
    <row r="8" spans="1:18" x14ac:dyDescent="0.25">
      <c r="A8" s="4"/>
      <c r="B8" s="4"/>
      <c r="C8" s="4"/>
      <c r="D8" s="4"/>
      <c r="E8" s="4"/>
      <c r="F8" s="4"/>
      <c r="G8" s="4"/>
      <c r="H8" s="4"/>
      <c r="I8" s="4"/>
      <c r="J8" s="7" t="str">
        <f t="shared" si="0"/>
        <v/>
      </c>
      <c r="K8" s="4"/>
      <c r="L8" s="4"/>
      <c r="M8" s="4"/>
      <c r="N8" s="4"/>
      <c r="O8" s="4"/>
      <c r="P8" s="4"/>
      <c r="Q8" s="4"/>
      <c r="R8" s="4"/>
    </row>
    <row r="9" spans="1:18" x14ac:dyDescent="0.25">
      <c r="A9" s="2"/>
      <c r="B9" s="2"/>
      <c r="C9" s="2"/>
      <c r="D9" s="2"/>
      <c r="E9" s="2"/>
      <c r="F9" s="2"/>
      <c r="G9" s="2"/>
      <c r="H9" s="2"/>
      <c r="I9" s="2"/>
      <c r="J9" s="8" t="str">
        <f t="shared" si="0"/>
        <v/>
      </c>
      <c r="K9" s="2"/>
      <c r="L9" s="2"/>
      <c r="M9" s="2"/>
      <c r="N9" s="2"/>
      <c r="O9" s="2"/>
      <c r="P9" s="2"/>
      <c r="Q9" s="2"/>
      <c r="R9" s="2"/>
    </row>
    <row r="10" spans="1:18" x14ac:dyDescent="0.25">
      <c r="A10" s="4"/>
      <c r="B10" s="4"/>
      <c r="C10" s="4"/>
      <c r="D10" s="4"/>
      <c r="E10" s="4"/>
      <c r="F10" s="4"/>
      <c r="G10" s="4"/>
      <c r="H10" s="4"/>
      <c r="I10" s="4"/>
      <c r="J10" s="7" t="str">
        <f t="shared" si="0"/>
        <v/>
      </c>
      <c r="K10" s="4"/>
      <c r="L10" s="4"/>
      <c r="M10" s="4"/>
      <c r="N10" s="4"/>
      <c r="O10" s="4"/>
      <c r="P10" s="4"/>
      <c r="Q10" s="4"/>
      <c r="R10" s="4"/>
    </row>
    <row r="11" spans="1:18" x14ac:dyDescent="0.25">
      <c r="A11" s="2"/>
      <c r="B11" s="2"/>
      <c r="C11" s="2"/>
      <c r="D11" s="2"/>
      <c r="E11" s="2"/>
      <c r="F11" s="2"/>
      <c r="G11" s="2"/>
      <c r="H11" s="2"/>
      <c r="I11" s="2"/>
      <c r="J11" s="8" t="str">
        <f t="shared" si="0"/>
        <v/>
      </c>
      <c r="K11" s="2"/>
      <c r="L11" s="2"/>
      <c r="M11" s="2"/>
      <c r="N11" s="2"/>
      <c r="O11" s="2"/>
      <c r="P11" s="2"/>
      <c r="Q11" s="2"/>
      <c r="R11" s="2"/>
    </row>
    <row r="12" spans="1:18" x14ac:dyDescent="0.25">
      <c r="A12" s="4"/>
      <c r="B12" s="4"/>
      <c r="C12" s="4"/>
      <c r="D12" s="4"/>
      <c r="E12" s="4"/>
      <c r="F12" s="4"/>
      <c r="G12" s="4"/>
      <c r="H12" s="4"/>
      <c r="I12" s="4"/>
      <c r="J12" s="7" t="str">
        <f t="shared" si="0"/>
        <v/>
      </c>
      <c r="K12" s="4"/>
      <c r="L12" s="4"/>
      <c r="M12" s="4"/>
      <c r="N12" s="4"/>
      <c r="O12" s="4"/>
      <c r="P12" s="4"/>
      <c r="Q12" s="4"/>
      <c r="R12" s="4"/>
    </row>
    <row r="13" spans="1:18" x14ac:dyDescent="0.25">
      <c r="A13" s="2"/>
      <c r="B13" s="2"/>
      <c r="C13" s="2"/>
      <c r="D13" s="2"/>
      <c r="E13" s="2"/>
      <c r="F13" s="2"/>
      <c r="G13" s="2"/>
      <c r="H13" s="2"/>
      <c r="I13" s="2"/>
      <c r="J13" s="8" t="str">
        <f t="shared" si="0"/>
        <v/>
      </c>
      <c r="K13" s="2"/>
      <c r="L13" s="2"/>
      <c r="M13" s="2"/>
      <c r="N13" s="2"/>
      <c r="O13" s="2"/>
      <c r="P13" s="2"/>
      <c r="Q13" s="2"/>
      <c r="R13" s="2"/>
    </row>
    <row r="14" spans="1:18" x14ac:dyDescent="0.25">
      <c r="A14" s="4"/>
      <c r="B14" s="4"/>
      <c r="C14" s="4"/>
      <c r="D14" s="4"/>
      <c r="E14" s="4"/>
      <c r="F14" s="4"/>
      <c r="G14" s="4"/>
      <c r="H14" s="4"/>
      <c r="I14" s="4"/>
      <c r="J14" s="7" t="str">
        <f t="shared" si="0"/>
        <v/>
      </c>
      <c r="K14" s="4"/>
      <c r="L14" s="4"/>
      <c r="M14" s="4"/>
      <c r="N14" s="4"/>
      <c r="O14" s="4"/>
      <c r="P14" s="4"/>
      <c r="Q14" s="4"/>
      <c r="R14" s="4"/>
    </row>
    <row r="15" spans="1:18" x14ac:dyDescent="0.25">
      <c r="A15" s="2"/>
      <c r="B15" s="2"/>
      <c r="C15" s="2"/>
      <c r="D15" s="2"/>
      <c r="E15" s="2"/>
      <c r="F15" s="2"/>
      <c r="G15" s="2"/>
      <c r="H15" s="2"/>
      <c r="I15" s="2"/>
      <c r="J15" s="8" t="str">
        <f t="shared" si="0"/>
        <v/>
      </c>
      <c r="K15" s="2"/>
      <c r="L15" s="2"/>
      <c r="M15" s="2"/>
      <c r="N15" s="2"/>
      <c r="O15" s="2"/>
      <c r="P15" s="2"/>
      <c r="Q15" s="2"/>
      <c r="R15" s="2"/>
    </row>
    <row r="16" spans="1:18" x14ac:dyDescent="0.25">
      <c r="A16" s="4"/>
      <c r="B16" s="4"/>
      <c r="C16" s="4"/>
      <c r="D16" s="4"/>
      <c r="E16" s="4"/>
      <c r="F16" s="4"/>
      <c r="G16" s="4"/>
      <c r="H16" s="4"/>
      <c r="I16" s="4"/>
      <c r="J16" s="7" t="str">
        <f t="shared" si="0"/>
        <v/>
      </c>
      <c r="K16" s="4"/>
      <c r="L16" s="4"/>
      <c r="M16" s="4"/>
      <c r="N16" s="4"/>
      <c r="O16" s="4"/>
      <c r="P16" s="4"/>
      <c r="Q16" s="4"/>
      <c r="R16" s="4"/>
    </row>
    <row r="17" spans="1:18" x14ac:dyDescent="0.25">
      <c r="A17" s="2"/>
      <c r="B17" s="2"/>
      <c r="C17" s="2"/>
      <c r="D17" s="2"/>
      <c r="E17" s="2"/>
      <c r="F17" s="2"/>
      <c r="G17" s="2"/>
      <c r="H17" s="2"/>
      <c r="I17" s="2"/>
      <c r="J17" s="8" t="str">
        <f t="shared" si="0"/>
        <v/>
      </c>
      <c r="K17" s="2"/>
      <c r="L17" s="2"/>
      <c r="M17" s="2"/>
      <c r="N17" s="2"/>
      <c r="O17" s="2"/>
      <c r="P17" s="2"/>
      <c r="Q17" s="2"/>
      <c r="R17" s="2"/>
    </row>
    <row r="18" spans="1:18" x14ac:dyDescent="0.25">
      <c r="A18" s="4"/>
      <c r="B18" s="4"/>
      <c r="C18" s="4"/>
      <c r="D18" s="4"/>
      <c r="E18" s="4"/>
      <c r="F18" s="4"/>
      <c r="G18" s="4"/>
      <c r="H18" s="4"/>
      <c r="I18" s="4"/>
      <c r="J18" s="7" t="str">
        <f t="shared" si="0"/>
        <v/>
      </c>
      <c r="K18" s="4"/>
      <c r="L18" s="4"/>
      <c r="M18" s="4"/>
      <c r="N18" s="4"/>
      <c r="O18" s="4"/>
      <c r="P18" s="4"/>
      <c r="Q18" s="4"/>
      <c r="R18" s="4"/>
    </row>
    <row r="19" spans="1:18" x14ac:dyDescent="0.25">
      <c r="A19" s="2"/>
      <c r="B19" s="2"/>
      <c r="C19" s="2"/>
      <c r="D19" s="2"/>
      <c r="E19" s="2"/>
      <c r="F19" s="2"/>
      <c r="G19" s="2"/>
      <c r="H19" s="2"/>
      <c r="I19" s="2"/>
      <c r="J19" s="8" t="str">
        <f t="shared" si="0"/>
        <v/>
      </c>
      <c r="K19" s="2"/>
      <c r="L19" s="2"/>
      <c r="M19" s="2"/>
      <c r="N19" s="2"/>
      <c r="O19" s="2"/>
      <c r="P19" s="2"/>
      <c r="Q19" s="2"/>
      <c r="R19" s="2"/>
    </row>
    <row r="20" spans="1:18" x14ac:dyDescent="0.25">
      <c r="A20" s="4"/>
      <c r="B20" s="4"/>
      <c r="C20" s="4"/>
      <c r="D20" s="4"/>
      <c r="E20" s="4"/>
      <c r="F20" s="4"/>
      <c r="G20" s="4"/>
      <c r="H20" s="4"/>
      <c r="I20" s="4"/>
      <c r="J20" s="7" t="str">
        <f t="shared" si="0"/>
        <v/>
      </c>
      <c r="K20" s="4"/>
      <c r="L20" s="4"/>
      <c r="M20" s="4"/>
      <c r="N20" s="4"/>
      <c r="O20" s="4"/>
      <c r="P20" s="4"/>
      <c r="Q20" s="4"/>
      <c r="R20" s="4"/>
    </row>
    <row r="21" spans="1:18" x14ac:dyDescent="0.25">
      <c r="A21" s="2"/>
      <c r="B21" s="2"/>
      <c r="C21" s="2"/>
      <c r="D21" s="2"/>
      <c r="E21" s="2"/>
      <c r="F21" s="2"/>
      <c r="G21" s="2"/>
      <c r="H21" s="2"/>
      <c r="I21" s="2"/>
      <c r="J21" s="8" t="str">
        <f t="shared" si="0"/>
        <v/>
      </c>
      <c r="K21" s="2"/>
      <c r="L21" s="2"/>
      <c r="M21" s="2"/>
      <c r="N21" s="2"/>
      <c r="O21" s="2"/>
      <c r="P21" s="2"/>
      <c r="Q21" s="2"/>
      <c r="R21" s="2"/>
    </row>
    <row r="22" spans="1:18" x14ac:dyDescent="0.25">
      <c r="A22" s="4"/>
      <c r="B22" s="4"/>
      <c r="C22" s="4"/>
      <c r="D22" s="4"/>
      <c r="E22" s="4"/>
      <c r="F22" s="4"/>
      <c r="G22" s="4"/>
      <c r="H22" s="4"/>
      <c r="I22" s="4"/>
      <c r="J22" s="7" t="str">
        <f t="shared" si="0"/>
        <v/>
      </c>
      <c r="K22" s="4"/>
      <c r="L22" s="4"/>
      <c r="M22" s="4"/>
      <c r="N22" s="4"/>
      <c r="O22" s="4"/>
      <c r="P22" s="4"/>
      <c r="Q22" s="4"/>
      <c r="R22" s="4"/>
    </row>
    <row r="23" spans="1:18" x14ac:dyDescent="0.25">
      <c r="A23" s="2"/>
      <c r="B23" s="2"/>
      <c r="C23" s="2"/>
      <c r="D23" s="2"/>
      <c r="E23" s="2"/>
      <c r="F23" s="2"/>
      <c r="G23" s="2"/>
      <c r="H23" s="2"/>
      <c r="I23" s="2"/>
      <c r="J23" s="8" t="str">
        <f t="shared" si="0"/>
        <v/>
      </c>
      <c r="K23" s="2"/>
      <c r="L23" s="2"/>
      <c r="M23" s="2"/>
      <c r="N23" s="2"/>
      <c r="O23" s="2"/>
      <c r="P23" s="2"/>
      <c r="Q23" s="2"/>
      <c r="R23" s="2"/>
    </row>
    <row r="24" spans="1:18" x14ac:dyDescent="0.25">
      <c r="A24" s="4"/>
      <c r="B24" s="4"/>
      <c r="C24" s="4"/>
      <c r="D24" s="4"/>
      <c r="E24" s="4"/>
      <c r="F24" s="4"/>
      <c r="G24" s="4"/>
      <c r="H24" s="4"/>
      <c r="I24" s="4"/>
      <c r="J24" s="7" t="str">
        <f t="shared" si="0"/>
        <v/>
      </c>
      <c r="K24" s="4"/>
      <c r="L24" s="4"/>
      <c r="M24" s="4"/>
      <c r="N24" s="4"/>
      <c r="O24" s="4"/>
      <c r="P24" s="4"/>
      <c r="Q24" s="4"/>
      <c r="R24" s="4"/>
    </row>
    <row r="25" spans="1:18" x14ac:dyDescent="0.25">
      <c r="A25" s="2"/>
      <c r="B25" s="2"/>
      <c r="C25" s="2"/>
      <c r="D25" s="2"/>
      <c r="E25" s="2"/>
      <c r="F25" s="2"/>
      <c r="G25" s="2"/>
      <c r="H25" s="2"/>
      <c r="I25" s="2"/>
      <c r="J25" s="8" t="str">
        <f t="shared" si="0"/>
        <v/>
      </c>
      <c r="K25" s="2"/>
      <c r="L25" s="2"/>
      <c r="M25" s="2"/>
      <c r="N25" s="2"/>
      <c r="O25" s="2"/>
      <c r="P25" s="2"/>
      <c r="Q25" s="2"/>
      <c r="R25" s="2"/>
    </row>
    <row r="26" spans="1:18" x14ac:dyDescent="0.25">
      <c r="A26" s="4"/>
      <c r="B26" s="4"/>
      <c r="C26" s="4"/>
      <c r="D26" s="4"/>
      <c r="E26" s="4"/>
      <c r="F26" s="4"/>
      <c r="G26" s="4"/>
      <c r="H26" s="4"/>
      <c r="I26" s="4"/>
      <c r="J26" s="7" t="str">
        <f t="shared" si="0"/>
        <v/>
      </c>
      <c r="K26" s="4"/>
      <c r="L26" s="4"/>
      <c r="M26" s="4"/>
      <c r="N26" s="4"/>
      <c r="O26" s="4"/>
      <c r="P26" s="4"/>
      <c r="Q26" s="4"/>
      <c r="R26" s="4"/>
    </row>
    <row r="27" spans="1:18" x14ac:dyDescent="0.25">
      <c r="A27" s="2"/>
      <c r="B27" s="2"/>
      <c r="C27" s="2"/>
      <c r="D27" s="2"/>
      <c r="E27" s="2"/>
      <c r="F27" s="2"/>
      <c r="G27" s="2"/>
      <c r="H27" s="2"/>
      <c r="I27" s="2"/>
      <c r="J27" s="8" t="str">
        <f t="shared" si="0"/>
        <v/>
      </c>
      <c r="K27" s="2"/>
      <c r="L27" s="2"/>
      <c r="M27" s="2"/>
      <c r="N27" s="2"/>
      <c r="O27" s="2"/>
      <c r="P27" s="2"/>
      <c r="Q27" s="2"/>
      <c r="R27" s="2"/>
    </row>
    <row r="28" spans="1:18" x14ac:dyDescent="0.25">
      <c r="A28" s="4"/>
      <c r="B28" s="4"/>
      <c r="C28" s="4"/>
      <c r="D28" s="4"/>
      <c r="E28" s="4"/>
      <c r="F28" s="4"/>
      <c r="G28" s="4"/>
      <c r="H28" s="4"/>
      <c r="I28" s="4"/>
      <c r="J28" s="7" t="str">
        <f t="shared" si="0"/>
        <v/>
      </c>
      <c r="K28" s="4"/>
      <c r="L28" s="4"/>
      <c r="M28" s="4"/>
      <c r="N28" s="4"/>
      <c r="O28" s="4"/>
      <c r="P28" s="4"/>
      <c r="Q28" s="4"/>
      <c r="R28" s="4"/>
    </row>
    <row r="29" spans="1:18" x14ac:dyDescent="0.25">
      <c r="A29" s="2"/>
      <c r="B29" s="2"/>
      <c r="C29" s="2"/>
      <c r="D29" s="2"/>
      <c r="E29" s="2"/>
      <c r="F29" s="2"/>
      <c r="G29" s="2"/>
      <c r="H29" s="2"/>
      <c r="I29" s="2"/>
      <c r="J29" s="8" t="str">
        <f t="shared" si="0"/>
        <v/>
      </c>
      <c r="K29" s="2"/>
      <c r="L29" s="2"/>
      <c r="M29" s="2"/>
      <c r="N29" s="2"/>
      <c r="O29" s="2"/>
      <c r="P29" s="2"/>
      <c r="Q29" s="2"/>
      <c r="R29" s="2"/>
    </row>
    <row r="30" spans="1:18" x14ac:dyDescent="0.25">
      <c r="A30" s="4"/>
      <c r="B30" s="4"/>
      <c r="C30" s="4"/>
      <c r="D30" s="4"/>
      <c r="E30" s="4"/>
      <c r="F30" s="4"/>
      <c r="G30" s="4"/>
      <c r="H30" s="4"/>
      <c r="I30" s="4"/>
      <c r="J30" s="7" t="str">
        <f t="shared" si="0"/>
        <v/>
      </c>
      <c r="K30" s="4"/>
      <c r="L30" s="4"/>
      <c r="M30" s="4"/>
      <c r="N30" s="4"/>
      <c r="O30" s="4"/>
      <c r="P30" s="4"/>
      <c r="Q30" s="4"/>
      <c r="R30" s="4"/>
    </row>
    <row r="31" spans="1:18" x14ac:dyDescent="0.25">
      <c r="A31" s="2"/>
      <c r="B31" s="2"/>
      <c r="C31" s="2"/>
      <c r="D31" s="2"/>
      <c r="E31" s="2"/>
      <c r="F31" s="2"/>
      <c r="G31" s="2"/>
      <c r="H31" s="2"/>
      <c r="I31" s="2"/>
      <c r="J31" s="8" t="str">
        <f t="shared" si="0"/>
        <v/>
      </c>
      <c r="K31" s="2"/>
      <c r="L31" s="2"/>
      <c r="M31" s="2"/>
      <c r="N31" s="2"/>
      <c r="O31" s="2"/>
      <c r="P31" s="2"/>
      <c r="Q31" s="2"/>
      <c r="R31" s="2"/>
    </row>
    <row r="32" spans="1:18" x14ac:dyDescent="0.25">
      <c r="A32" s="4"/>
      <c r="B32" s="4"/>
      <c r="C32" s="4"/>
      <c r="D32" s="4"/>
      <c r="E32" s="4"/>
      <c r="F32" s="4"/>
      <c r="G32" s="4"/>
      <c r="H32" s="4"/>
      <c r="I32" s="4"/>
      <c r="J32" s="7" t="str">
        <f t="shared" si="0"/>
        <v/>
      </c>
      <c r="K32" s="4"/>
      <c r="L32" s="4"/>
      <c r="M32" s="4"/>
      <c r="N32" s="4"/>
      <c r="O32" s="4"/>
      <c r="P32" s="4"/>
      <c r="Q32" s="4"/>
      <c r="R32" s="4"/>
    </row>
    <row r="33" spans="1:18" x14ac:dyDescent="0.25">
      <c r="A33" s="2"/>
      <c r="B33" s="2"/>
      <c r="C33" s="2"/>
      <c r="D33" s="2"/>
      <c r="E33" s="2"/>
      <c r="F33" s="2"/>
      <c r="G33" s="2"/>
      <c r="H33" s="2"/>
      <c r="I33" s="2"/>
      <c r="J33" s="8" t="str">
        <f t="shared" si="0"/>
        <v/>
      </c>
      <c r="K33" s="2"/>
      <c r="L33" s="2"/>
      <c r="M33" s="2"/>
      <c r="N33" s="2"/>
      <c r="O33" s="2"/>
      <c r="P33" s="2"/>
      <c r="Q33" s="2"/>
      <c r="R33" s="2"/>
    </row>
    <row r="34" spans="1:18" x14ac:dyDescent="0.25">
      <c r="A34" s="4"/>
      <c r="B34" s="4"/>
      <c r="C34" s="4"/>
      <c r="D34" s="4"/>
      <c r="E34" s="4"/>
      <c r="F34" s="4"/>
      <c r="G34" s="4"/>
      <c r="H34" s="4"/>
      <c r="I34" s="4"/>
      <c r="J34" s="7" t="str">
        <f t="shared" si="0"/>
        <v/>
      </c>
      <c r="K34" s="4"/>
      <c r="L34" s="4"/>
      <c r="M34" s="4"/>
      <c r="N34" s="4"/>
      <c r="O34" s="4"/>
      <c r="P34" s="4"/>
      <c r="Q34" s="4"/>
      <c r="R34" s="4"/>
    </row>
    <row r="35" spans="1:18" x14ac:dyDescent="0.25">
      <c r="A35" s="2"/>
      <c r="B35" s="2"/>
      <c r="C35" s="2"/>
      <c r="D35" s="2"/>
      <c r="E35" s="2"/>
      <c r="F35" s="2"/>
      <c r="G35" s="2"/>
      <c r="H35" s="2"/>
      <c r="I35" s="2"/>
      <c r="J35" s="8" t="str">
        <f t="shared" si="0"/>
        <v/>
      </c>
      <c r="K35" s="2"/>
      <c r="L35" s="2"/>
      <c r="M35" s="2"/>
      <c r="N35" s="2"/>
      <c r="O35" s="2"/>
      <c r="P35" s="2"/>
      <c r="Q35" s="2"/>
      <c r="R35" s="2"/>
    </row>
    <row r="36" spans="1:18" x14ac:dyDescent="0.25">
      <c r="A36" s="4"/>
      <c r="B36" s="4"/>
      <c r="C36" s="4"/>
      <c r="D36" s="4"/>
      <c r="E36" s="4"/>
      <c r="F36" s="4"/>
      <c r="G36" s="4"/>
      <c r="H36" s="4"/>
      <c r="I36" s="4"/>
      <c r="J36" s="7" t="str">
        <f t="shared" si="0"/>
        <v/>
      </c>
      <c r="K36" s="4"/>
      <c r="L36" s="4"/>
      <c r="M36" s="4"/>
      <c r="N36" s="4"/>
      <c r="O36" s="4"/>
      <c r="P36" s="4"/>
      <c r="Q36" s="4"/>
      <c r="R36" s="4"/>
    </row>
    <row r="37" spans="1:18" x14ac:dyDescent="0.25">
      <c r="A37" s="2"/>
      <c r="B37" s="2"/>
      <c r="C37" s="2"/>
      <c r="D37" s="2"/>
      <c r="E37" s="2"/>
      <c r="F37" s="2"/>
      <c r="G37" s="2"/>
      <c r="H37" s="2"/>
      <c r="I37" s="2"/>
      <c r="J37" s="8" t="str">
        <f t="shared" si="0"/>
        <v/>
      </c>
      <c r="K37" s="2"/>
      <c r="L37" s="2"/>
      <c r="M37" s="2"/>
      <c r="N37" s="2"/>
      <c r="O37" s="2"/>
      <c r="P37" s="2"/>
      <c r="Q37" s="2"/>
      <c r="R37" s="2"/>
    </row>
    <row r="38" spans="1:18" x14ac:dyDescent="0.25">
      <c r="A38" s="4"/>
      <c r="B38" s="4"/>
      <c r="C38" s="4"/>
      <c r="D38" s="4"/>
      <c r="E38" s="4"/>
      <c r="F38" s="4"/>
      <c r="G38" s="4"/>
      <c r="H38" s="4"/>
      <c r="I38" s="4"/>
      <c r="J38" s="7" t="str">
        <f t="shared" si="0"/>
        <v/>
      </c>
      <c r="K38" s="4"/>
      <c r="L38" s="4"/>
      <c r="M38" s="4"/>
      <c r="N38" s="4"/>
      <c r="O38" s="4"/>
      <c r="P38" s="4"/>
      <c r="Q38" s="4"/>
      <c r="R38" s="4"/>
    </row>
  </sheetData>
  <autoFilter ref="A3:R38" xr:uid="{00000000-0009-0000-0000-000008000000}"/>
  <mergeCells count="2">
    <mergeCell ref="A2:H2"/>
    <mergeCell ref="A1:H1"/>
  </mergeCells>
  <pageMargins left="0.25" right="0.25" top="0.5" bottom="0.5" header="0.5" footer="0.5"/>
  <pageSetup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8"/>
  <sheetViews>
    <sheetView showGridLines="0" workbookViewId="0">
      <pane ySplit="2" topLeftCell="A4" activePane="bottomLeft" state="frozen"/>
      <selection pane="bottomLeft" activeCell="D10" sqref="D10"/>
    </sheetView>
  </sheetViews>
  <sheetFormatPr defaultRowHeight="15" x14ac:dyDescent="0.25"/>
  <cols>
    <col min="1" max="1" width="22" customWidth="1"/>
    <col min="2" max="2" width="28" customWidth="1"/>
    <col min="3" max="3" width="29" customWidth="1"/>
    <col min="4" max="4" width="34" customWidth="1"/>
  </cols>
  <sheetData>
    <row r="1" spans="1:8" ht="26.1" customHeight="1" x14ac:dyDescent="0.25">
      <c r="A1" s="16" t="s">
        <v>123</v>
      </c>
      <c r="B1" s="12"/>
      <c r="C1" s="12"/>
      <c r="D1" s="12"/>
      <c r="E1" s="12"/>
      <c r="F1" s="12"/>
      <c r="G1" s="12"/>
      <c r="H1" s="12"/>
    </row>
    <row r="2" spans="1:8" ht="32.1" customHeight="1" x14ac:dyDescent="0.25">
      <c r="A2" s="15" t="s">
        <v>124</v>
      </c>
      <c r="B2" s="12"/>
      <c r="C2" s="12"/>
      <c r="D2" s="12"/>
      <c r="E2" s="12"/>
      <c r="F2" s="12"/>
      <c r="G2" s="12"/>
      <c r="H2" s="12"/>
    </row>
    <row r="3" spans="1:8" ht="32.1" customHeight="1" x14ac:dyDescent="0.25">
      <c r="A3" s="3" t="s">
        <v>125</v>
      </c>
      <c r="B3" s="3" t="s">
        <v>126</v>
      </c>
      <c r="C3" s="3" t="s">
        <v>127</v>
      </c>
      <c r="D3" s="3" t="s">
        <v>128</v>
      </c>
    </row>
    <row r="4" spans="1:8" ht="45" x14ac:dyDescent="0.25">
      <c r="A4" s="4" t="s">
        <v>129</v>
      </c>
      <c r="B4" s="4" t="s">
        <v>130</v>
      </c>
      <c r="C4" s="5">
        <f>CORREL(Reported_Mechanical!B3:B9,Reported_Mechanical!D3:D9)</f>
        <v>0.99815364504168713</v>
      </c>
      <c r="D4" s="4" t="s">
        <v>131</v>
      </c>
    </row>
    <row r="5" spans="1:8" ht="45" x14ac:dyDescent="0.25">
      <c r="A5" s="2" t="s">
        <v>132</v>
      </c>
      <c r="B5" s="2" t="s">
        <v>133</v>
      </c>
      <c r="C5" s="6">
        <f>CORREL(Reported_Physical!C3:C9,Reported_Physical!D3:D9)</f>
        <v>0.99967720938475602</v>
      </c>
      <c r="D5" s="2" t="s">
        <v>134</v>
      </c>
    </row>
    <row r="6" spans="1:8" ht="60" x14ac:dyDescent="0.25">
      <c r="A6" s="4" t="s">
        <v>133</v>
      </c>
      <c r="B6" s="4" t="s">
        <v>135</v>
      </c>
      <c r="C6" s="5">
        <f>CORREL(Reported_Physical!D3:D9,Reported_Thermal!B4:B10)</f>
        <v>0.99799701801217022</v>
      </c>
      <c r="D6" s="4" t="s">
        <v>136</v>
      </c>
    </row>
    <row r="7" spans="1:8" ht="45" x14ac:dyDescent="0.25">
      <c r="A7" s="2" t="s">
        <v>137</v>
      </c>
      <c r="B7" s="2" t="s">
        <v>138</v>
      </c>
      <c r="C7" s="6">
        <f>CORREL(Reported_Mechanical!E3:E9,Reported_Physical!E3:E9)</f>
        <v>-0.97501930702072537</v>
      </c>
      <c r="D7" s="2" t="s">
        <v>139</v>
      </c>
    </row>
    <row r="8" spans="1:8" ht="45" x14ac:dyDescent="0.25">
      <c r="A8" s="4" t="s">
        <v>140</v>
      </c>
      <c r="B8" s="4" t="s">
        <v>129</v>
      </c>
      <c r="C8" s="5">
        <f>CORREL(Reported_Physical!B3:B9,Reported_Mechanical!B3:B9)</f>
        <v>-0.25462064277151791</v>
      </c>
      <c r="D8" s="4" t="s">
        <v>141</v>
      </c>
    </row>
  </sheetData>
  <autoFilter ref="A3:D8" xr:uid="{00000000-0009-0000-0000-000009000000}"/>
  <mergeCells count="2">
    <mergeCell ref="A2:H2"/>
    <mergeCell ref="A1:H1"/>
  </mergeCells>
  <pageMargins left="0.25" right="0.25" top="0.5" bottom="0.5" header="0.5" footer="0.5"/>
  <pageSetup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L35"/>
  <sheetViews>
    <sheetView showGridLines="0" tabSelected="1" workbookViewId="0">
      <pane ySplit="1" topLeftCell="A18" activePane="bottomLeft" state="frozen"/>
      <selection pane="bottomLeft" activeCell="C41" sqref="C41"/>
    </sheetView>
  </sheetViews>
  <sheetFormatPr defaultRowHeight="15" x14ac:dyDescent="0.25"/>
  <cols>
    <col min="1" max="1" width="22" customWidth="1"/>
    <col min="2" max="2" width="32" customWidth="1"/>
    <col min="3" max="3" width="22" customWidth="1"/>
    <col min="4" max="4" width="21" customWidth="1"/>
    <col min="5" max="5" width="23" customWidth="1"/>
    <col min="6" max="6" width="18" customWidth="1"/>
    <col min="7" max="7" width="24" customWidth="1"/>
    <col min="8" max="8" width="28" customWidth="1"/>
    <col min="9" max="9" width="20" customWidth="1"/>
    <col min="10" max="11" width="24" customWidth="1"/>
    <col min="12" max="12" width="30" customWidth="1"/>
  </cols>
  <sheetData>
    <row r="1" spans="1:12" ht="26.1" customHeight="1" x14ac:dyDescent="0.25">
      <c r="A1" s="16" t="s">
        <v>142</v>
      </c>
      <c r="B1" s="12"/>
      <c r="C1" s="12"/>
      <c r="D1" s="12"/>
      <c r="E1" s="12"/>
      <c r="F1" s="12"/>
      <c r="G1" s="12"/>
      <c r="H1" s="12"/>
    </row>
    <row r="2" spans="1:12" ht="32.1" customHeight="1" x14ac:dyDescent="0.25">
      <c r="A2" s="3" t="s">
        <v>143</v>
      </c>
      <c r="B2" s="3" t="s">
        <v>144</v>
      </c>
      <c r="C2" s="3" t="s">
        <v>145</v>
      </c>
      <c r="D2" s="3" t="s">
        <v>82</v>
      </c>
      <c r="E2" s="3" t="s">
        <v>146</v>
      </c>
      <c r="F2" s="3" t="s">
        <v>147</v>
      </c>
      <c r="G2" s="3" t="s">
        <v>148</v>
      </c>
      <c r="H2" s="3" t="s">
        <v>149</v>
      </c>
      <c r="I2" s="3" t="s">
        <v>150</v>
      </c>
      <c r="J2" s="3" t="s">
        <v>151</v>
      </c>
      <c r="K2" s="3" t="s">
        <v>152</v>
      </c>
      <c r="L2" s="3" t="s">
        <v>153</v>
      </c>
    </row>
    <row r="3" spans="1:12" x14ac:dyDescent="0.25">
      <c r="A3" s="4"/>
      <c r="B3" s="4"/>
      <c r="C3" s="4"/>
      <c r="D3" s="4"/>
      <c r="E3" s="4"/>
      <c r="F3" s="4"/>
      <c r="G3" s="9" t="str">
        <f t="shared" ref="G3:G27" si="0">IF(OR(C3="",E3=""),"",C3*E3)</f>
        <v/>
      </c>
      <c r="H3" s="4"/>
      <c r="I3" s="4"/>
      <c r="J3" s="4"/>
      <c r="K3" s="4"/>
      <c r="L3" s="4"/>
    </row>
    <row r="4" spans="1:12" x14ac:dyDescent="0.25">
      <c r="A4" s="2"/>
      <c r="B4" s="2"/>
      <c r="C4" s="2"/>
      <c r="D4" s="2"/>
      <c r="E4" s="2"/>
      <c r="F4" s="2"/>
      <c r="G4" s="10" t="str">
        <f t="shared" si="0"/>
        <v/>
      </c>
      <c r="H4" s="2"/>
      <c r="I4" s="2"/>
      <c r="J4" s="2"/>
      <c r="K4" s="2"/>
      <c r="L4" s="2"/>
    </row>
    <row r="5" spans="1:12" x14ac:dyDescent="0.25">
      <c r="A5" s="4"/>
      <c r="B5" s="4"/>
      <c r="C5" s="4"/>
      <c r="D5" s="4"/>
      <c r="E5" s="4"/>
      <c r="F5" s="4"/>
      <c r="G5" s="9" t="str">
        <f t="shared" si="0"/>
        <v/>
      </c>
      <c r="H5" s="4"/>
      <c r="I5" s="4"/>
      <c r="J5" s="4"/>
      <c r="K5" s="4"/>
      <c r="L5" s="4"/>
    </row>
    <row r="6" spans="1:12" x14ac:dyDescent="0.25">
      <c r="A6" s="2"/>
      <c r="B6" s="2"/>
      <c r="C6" s="2"/>
      <c r="D6" s="2"/>
      <c r="E6" s="2"/>
      <c r="F6" s="2"/>
      <c r="G6" s="10" t="str">
        <f t="shared" si="0"/>
        <v/>
      </c>
      <c r="H6" s="2"/>
      <c r="I6" s="2"/>
      <c r="J6" s="2"/>
      <c r="K6" s="2"/>
      <c r="L6" s="2"/>
    </row>
    <row r="7" spans="1:12" x14ac:dyDescent="0.25">
      <c r="A7" s="4"/>
      <c r="B7" s="4"/>
      <c r="C7" s="4"/>
      <c r="D7" s="4"/>
      <c r="E7" s="4"/>
      <c r="F7" s="4"/>
      <c r="G7" s="9" t="str">
        <f t="shared" si="0"/>
        <v/>
      </c>
      <c r="H7" s="4"/>
      <c r="I7" s="4"/>
      <c r="J7" s="4"/>
      <c r="K7" s="4"/>
      <c r="L7" s="4"/>
    </row>
    <row r="8" spans="1:12" x14ac:dyDescent="0.25">
      <c r="A8" s="2"/>
      <c r="B8" s="2"/>
      <c r="C8" s="2"/>
      <c r="D8" s="2"/>
      <c r="E8" s="2"/>
      <c r="F8" s="2"/>
      <c r="G8" s="10" t="str">
        <f t="shared" si="0"/>
        <v/>
      </c>
      <c r="H8" s="2"/>
      <c r="I8" s="2"/>
      <c r="J8" s="2"/>
      <c r="K8" s="2"/>
      <c r="L8" s="2"/>
    </row>
    <row r="9" spans="1:12" x14ac:dyDescent="0.25">
      <c r="A9" s="4"/>
      <c r="B9" s="4"/>
      <c r="C9" s="4"/>
      <c r="D9" s="4"/>
      <c r="E9" s="4"/>
      <c r="F9" s="4"/>
      <c r="G9" s="9" t="str">
        <f t="shared" si="0"/>
        <v/>
      </c>
      <c r="H9" s="4"/>
      <c r="I9" s="4"/>
      <c r="J9" s="4"/>
      <c r="K9" s="4"/>
      <c r="L9" s="4"/>
    </row>
    <row r="10" spans="1:12" x14ac:dyDescent="0.25">
      <c r="A10" s="2"/>
      <c r="B10" s="2"/>
      <c r="C10" s="2"/>
      <c r="D10" s="2"/>
      <c r="E10" s="2"/>
      <c r="F10" s="2"/>
      <c r="G10" s="10" t="str">
        <f t="shared" si="0"/>
        <v/>
      </c>
      <c r="H10" s="2"/>
      <c r="I10" s="2"/>
      <c r="J10" s="2"/>
      <c r="K10" s="2"/>
      <c r="L10" s="2"/>
    </row>
    <row r="11" spans="1:12" x14ac:dyDescent="0.25">
      <c r="A11" s="4"/>
      <c r="B11" s="4"/>
      <c r="C11" s="4"/>
      <c r="D11" s="4"/>
      <c r="E11" s="4"/>
      <c r="F11" s="4"/>
      <c r="G11" s="9" t="str">
        <f t="shared" si="0"/>
        <v/>
      </c>
      <c r="H11" s="4"/>
      <c r="I11" s="4"/>
      <c r="J11" s="4"/>
      <c r="K11" s="4"/>
      <c r="L11" s="4"/>
    </row>
    <row r="12" spans="1:12" x14ac:dyDescent="0.25">
      <c r="A12" s="2"/>
      <c r="B12" s="2"/>
      <c r="C12" s="2"/>
      <c r="D12" s="2"/>
      <c r="E12" s="2"/>
      <c r="F12" s="2"/>
      <c r="G12" s="10" t="str">
        <f t="shared" si="0"/>
        <v/>
      </c>
      <c r="H12" s="2"/>
      <c r="I12" s="2"/>
      <c r="J12" s="2"/>
      <c r="K12" s="2"/>
      <c r="L12" s="2"/>
    </row>
    <row r="13" spans="1:12" x14ac:dyDescent="0.25">
      <c r="A13" s="4"/>
      <c r="B13" s="4"/>
      <c r="C13" s="4"/>
      <c r="D13" s="4"/>
      <c r="E13" s="4"/>
      <c r="F13" s="4"/>
      <c r="G13" s="9" t="str">
        <f t="shared" si="0"/>
        <v/>
      </c>
      <c r="H13" s="4"/>
      <c r="I13" s="4"/>
      <c r="J13" s="4"/>
      <c r="K13" s="4"/>
      <c r="L13" s="4"/>
    </row>
    <row r="14" spans="1:12" x14ac:dyDescent="0.25">
      <c r="A14" s="2"/>
      <c r="B14" s="2"/>
      <c r="C14" s="2"/>
      <c r="D14" s="2"/>
      <c r="E14" s="2"/>
      <c r="F14" s="2"/>
      <c r="G14" s="10" t="str">
        <f t="shared" si="0"/>
        <v/>
      </c>
      <c r="H14" s="2"/>
      <c r="I14" s="2"/>
      <c r="J14" s="2"/>
      <c r="K14" s="2"/>
      <c r="L14" s="2"/>
    </row>
    <row r="15" spans="1:12" x14ac:dyDescent="0.25">
      <c r="A15" s="4"/>
      <c r="B15" s="4"/>
      <c r="C15" s="4"/>
      <c r="D15" s="4"/>
      <c r="E15" s="4"/>
      <c r="F15" s="4"/>
      <c r="G15" s="9" t="str">
        <f t="shared" si="0"/>
        <v/>
      </c>
      <c r="H15" s="4"/>
      <c r="I15" s="4"/>
      <c r="J15" s="4"/>
      <c r="K15" s="4"/>
      <c r="L15" s="4"/>
    </row>
    <row r="16" spans="1:12" x14ac:dyDescent="0.25">
      <c r="A16" s="2"/>
      <c r="B16" s="2"/>
      <c r="C16" s="2"/>
      <c r="D16" s="2"/>
      <c r="E16" s="2"/>
      <c r="F16" s="2"/>
      <c r="G16" s="10" t="str">
        <f t="shared" si="0"/>
        <v/>
      </c>
      <c r="H16" s="2"/>
      <c r="I16" s="2"/>
      <c r="J16" s="2"/>
      <c r="K16" s="2"/>
      <c r="L16" s="2"/>
    </row>
    <row r="17" spans="1:12" x14ac:dyDescent="0.25">
      <c r="A17" s="4"/>
      <c r="B17" s="4"/>
      <c r="C17" s="4"/>
      <c r="D17" s="4"/>
      <c r="E17" s="4"/>
      <c r="F17" s="4"/>
      <c r="G17" s="9" t="str">
        <f t="shared" si="0"/>
        <v/>
      </c>
      <c r="H17" s="4"/>
      <c r="I17" s="4"/>
      <c r="J17" s="4"/>
      <c r="K17" s="4"/>
      <c r="L17" s="4"/>
    </row>
    <row r="18" spans="1:12" x14ac:dyDescent="0.25">
      <c r="A18" s="2"/>
      <c r="B18" s="2"/>
      <c r="C18" s="2"/>
      <c r="D18" s="2"/>
      <c r="E18" s="2"/>
      <c r="F18" s="2"/>
      <c r="G18" s="10" t="str">
        <f t="shared" si="0"/>
        <v/>
      </c>
      <c r="H18" s="2"/>
      <c r="I18" s="2"/>
      <c r="J18" s="2"/>
      <c r="K18" s="2"/>
      <c r="L18" s="2"/>
    </row>
    <row r="19" spans="1:12" x14ac:dyDescent="0.25">
      <c r="A19" s="4"/>
      <c r="B19" s="4"/>
      <c r="C19" s="4"/>
      <c r="D19" s="4"/>
      <c r="E19" s="4"/>
      <c r="F19" s="4"/>
      <c r="G19" s="9" t="str">
        <f t="shared" si="0"/>
        <v/>
      </c>
      <c r="H19" s="4"/>
      <c r="I19" s="4"/>
      <c r="J19" s="4"/>
      <c r="K19" s="4"/>
      <c r="L19" s="4"/>
    </row>
    <row r="20" spans="1:12" x14ac:dyDescent="0.25">
      <c r="A20" s="2"/>
      <c r="B20" s="2"/>
      <c r="C20" s="2"/>
      <c r="D20" s="2"/>
      <c r="E20" s="2"/>
      <c r="F20" s="2"/>
      <c r="G20" s="10" t="str">
        <f t="shared" si="0"/>
        <v/>
      </c>
      <c r="H20" s="2"/>
      <c r="I20" s="2"/>
      <c r="J20" s="2"/>
      <c r="K20" s="2"/>
      <c r="L20" s="2"/>
    </row>
    <row r="21" spans="1:12" x14ac:dyDescent="0.25">
      <c r="A21" s="4"/>
      <c r="B21" s="4"/>
      <c r="C21" s="4"/>
      <c r="D21" s="4"/>
      <c r="E21" s="4"/>
      <c r="F21" s="4"/>
      <c r="G21" s="9" t="str">
        <f t="shared" si="0"/>
        <v/>
      </c>
      <c r="H21" s="4"/>
      <c r="I21" s="4"/>
      <c r="J21" s="4"/>
      <c r="K21" s="4"/>
      <c r="L21" s="4"/>
    </row>
    <row r="22" spans="1:12" x14ac:dyDescent="0.25">
      <c r="A22" s="2"/>
      <c r="B22" s="2"/>
      <c r="C22" s="2"/>
      <c r="D22" s="2"/>
      <c r="E22" s="2"/>
      <c r="F22" s="2"/>
      <c r="G22" s="10" t="str">
        <f t="shared" si="0"/>
        <v/>
      </c>
      <c r="H22" s="2"/>
      <c r="I22" s="2"/>
      <c r="J22" s="2"/>
      <c r="K22" s="2"/>
      <c r="L22" s="2"/>
    </row>
    <row r="23" spans="1:12" x14ac:dyDescent="0.25">
      <c r="A23" s="4"/>
      <c r="B23" s="4"/>
      <c r="C23" s="4"/>
      <c r="D23" s="4"/>
      <c r="E23" s="4"/>
      <c r="F23" s="4"/>
      <c r="G23" s="9" t="str">
        <f t="shared" si="0"/>
        <v/>
      </c>
      <c r="H23" s="4"/>
      <c r="I23" s="4"/>
      <c r="J23" s="4"/>
      <c r="K23" s="4"/>
      <c r="L23" s="4"/>
    </row>
    <row r="24" spans="1:12" x14ac:dyDescent="0.25">
      <c r="A24" s="2"/>
      <c r="B24" s="2"/>
      <c r="C24" s="2"/>
      <c r="D24" s="2"/>
      <c r="E24" s="2"/>
      <c r="F24" s="2"/>
      <c r="G24" s="10" t="str">
        <f t="shared" si="0"/>
        <v/>
      </c>
      <c r="H24" s="2"/>
      <c r="I24" s="2"/>
      <c r="J24" s="2"/>
      <c r="K24" s="2"/>
      <c r="L24" s="2"/>
    </row>
    <row r="25" spans="1:12" x14ac:dyDescent="0.25">
      <c r="A25" s="4"/>
      <c r="B25" s="4"/>
      <c r="C25" s="4"/>
      <c r="D25" s="4"/>
      <c r="E25" s="4"/>
      <c r="F25" s="4"/>
      <c r="G25" s="9" t="str">
        <f t="shared" si="0"/>
        <v/>
      </c>
      <c r="H25" s="4"/>
      <c r="I25" s="4"/>
      <c r="J25" s="4"/>
      <c r="K25" s="4"/>
      <c r="L25" s="4"/>
    </row>
    <row r="26" spans="1:12" x14ac:dyDescent="0.25">
      <c r="A26" s="2"/>
      <c r="B26" s="2"/>
      <c r="C26" s="2"/>
      <c r="D26" s="2"/>
      <c r="E26" s="2"/>
      <c r="F26" s="2"/>
      <c r="G26" s="10" t="str">
        <f t="shared" si="0"/>
        <v/>
      </c>
      <c r="H26" s="2"/>
      <c r="I26" s="2"/>
      <c r="J26" s="2"/>
      <c r="K26" s="2"/>
      <c r="L26" s="2"/>
    </row>
    <row r="27" spans="1:12" x14ac:dyDescent="0.25">
      <c r="A27" s="4"/>
      <c r="B27" s="4"/>
      <c r="C27" s="4"/>
      <c r="D27" s="4"/>
      <c r="E27" s="4"/>
      <c r="F27" s="4"/>
      <c r="G27" s="9" t="str">
        <f t="shared" si="0"/>
        <v/>
      </c>
      <c r="H27" s="4"/>
      <c r="I27" s="4"/>
      <c r="J27" s="4"/>
      <c r="K27" s="4"/>
      <c r="L27" s="4"/>
    </row>
    <row r="31" spans="1:12" x14ac:dyDescent="0.25">
      <c r="A31" s="17" t="s">
        <v>154</v>
      </c>
      <c r="B31" s="12"/>
      <c r="C31" s="12"/>
      <c r="D31" s="12"/>
      <c r="E31" s="12"/>
    </row>
    <row r="32" spans="1:12" ht="32.1" customHeight="1" x14ac:dyDescent="0.25">
      <c r="A32" s="3" t="s">
        <v>155</v>
      </c>
      <c r="B32" s="3" t="s">
        <v>156</v>
      </c>
      <c r="C32" s="3" t="s">
        <v>157</v>
      </c>
      <c r="D32" s="3" t="s">
        <v>158</v>
      </c>
      <c r="E32" s="3" t="s">
        <v>159</v>
      </c>
    </row>
    <row r="33" spans="1:5" x14ac:dyDescent="0.25">
      <c r="A33" s="4" t="s">
        <v>160</v>
      </c>
      <c r="B33" s="4">
        <v>0.46200000000000002</v>
      </c>
      <c r="C33" s="4">
        <v>3.21</v>
      </c>
      <c r="D33" s="4">
        <v>4.09</v>
      </c>
      <c r="E33" s="4">
        <v>12</v>
      </c>
    </row>
    <row r="34" spans="1:5" x14ac:dyDescent="0.25">
      <c r="A34" s="2" t="s">
        <v>161</v>
      </c>
      <c r="B34" s="2">
        <v>0.29799999999999999</v>
      </c>
      <c r="C34" s="2">
        <v>2.1800000000000002</v>
      </c>
      <c r="D34" s="2">
        <v>2.76</v>
      </c>
      <c r="E34" s="2">
        <v>48</v>
      </c>
    </row>
    <row r="35" spans="1:5" x14ac:dyDescent="0.25">
      <c r="A35" s="4" t="s">
        <v>162</v>
      </c>
      <c r="B35" s="4">
        <v>0.249</v>
      </c>
      <c r="C35" s="4">
        <v>1.72</v>
      </c>
      <c r="D35" s="4">
        <v>2.21</v>
      </c>
      <c r="E35" s="4">
        <v>62</v>
      </c>
    </row>
  </sheetData>
  <autoFilter ref="A32:E35" xr:uid="{00000000-0009-0000-0000-00000A000000}"/>
  <mergeCells count="2">
    <mergeCell ref="A31:E31"/>
    <mergeCell ref="A1:H1"/>
  </mergeCells>
  <pageMargins left="0.25" right="0.25" top="0.5" bottom="0.5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START_HERE</vt:lpstr>
      <vt:lpstr>Mix_Design</vt:lpstr>
      <vt:lpstr>Reported_Physical</vt:lpstr>
      <vt:lpstr>Reported_Mechanical</vt:lpstr>
      <vt:lpstr>Reported_Durability</vt:lpstr>
      <vt:lpstr>Reported_Thermal</vt:lpstr>
      <vt:lpstr>Specimen_Raw_Data</vt:lpstr>
      <vt:lpstr>Lab_Record_Log</vt:lpstr>
      <vt:lpstr>Durability_Raw_Data</vt:lpstr>
      <vt:lpstr>Stats_Descriptive</vt:lpstr>
      <vt:lpstr>LCA_Inventory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Giriraj  M</cp:lastModifiedBy>
  <dcterms:created xsi:type="dcterms:W3CDTF">2026-10-28T16:48:35Z</dcterms:created>
  <dcterms:modified xsi:type="dcterms:W3CDTF">2026-10-28T16:54:06Z</dcterms:modified>
</cp:coreProperties>
</file>